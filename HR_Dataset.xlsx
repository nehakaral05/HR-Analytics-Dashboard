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fca1cf4762b359/문서/"/>
    </mc:Choice>
  </mc:AlternateContent>
  <xr:revisionPtr revIDLastSave="14" documentId="8_{E4BBC62A-85F7-4440-A521-77EE0D4973D0}" xr6:coauthVersionLast="47" xr6:coauthVersionMax="47" xr10:uidLastSave="{61F54106-7E82-42E2-9857-8114BE3E948D}"/>
  <bookViews>
    <workbookView xWindow="-108" yWindow="-108" windowWidth="23256" windowHeight="12456" xr2:uid="{188D3F7A-1AB3-45ED-BF23-E3215DD4C653}"/>
  </bookViews>
  <sheets>
    <sheet name="HRDataset_v14(AutoRecovere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2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2" i="1"/>
  <c r="T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2" i="1"/>
</calcChain>
</file>

<file path=xl/sharedStrings.xml><?xml version="1.0" encoding="utf-8"?>
<sst xmlns="http://schemas.openxmlformats.org/spreadsheetml/2006/main" count="4386" uniqueCount="484">
  <si>
    <t>Employee_Name</t>
  </si>
  <si>
    <t>EmpStatusID</t>
  </si>
  <si>
    <t>DeptID</t>
  </si>
  <si>
    <t>Salary</t>
  </si>
  <si>
    <t>Termd</t>
  </si>
  <si>
    <t>Position</t>
  </si>
  <si>
    <t>State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</si>
  <si>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</si>
  <si>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</si>
  <si>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</si>
  <si>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</si>
  <si>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</si>
  <si>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</si>
  <si>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</si>
  <si>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</si>
  <si>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</si>
  <si>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</si>
  <si>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</si>
  <si>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</si>
  <si>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</si>
  <si>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</si>
  <si>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</si>
  <si>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</si>
  <si>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</si>
  <si>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</si>
  <si>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</si>
  <si>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</si>
  <si>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</si>
  <si>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</si>
  <si>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</si>
  <si>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</si>
  <si>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</si>
  <si>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</si>
  <si>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</si>
  <si>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</si>
  <si>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</si>
  <si>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</si>
  <si>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</si>
  <si>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</si>
  <si>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</si>
  <si>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</si>
  <si>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</si>
  <si>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</si>
  <si>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</si>
  <si>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</si>
  <si>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</si>
  <si>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</si>
  <si>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</si>
  <si>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Production Technician II</t>
  </si>
  <si>
    <t>F</t>
  </si>
  <si>
    <t>hours</t>
  </si>
  <si>
    <t>Kissy Sullivan</t>
  </si>
  <si>
    <t>Elijiah Gray</t>
  </si>
  <si>
    <t>Divorced</t>
  </si>
  <si>
    <t>return to school</t>
  </si>
  <si>
    <t>Webster Butler</t>
  </si>
  <si>
    <t>Google Search</t>
  </si>
  <si>
    <t>Amy Dunn</t>
  </si>
  <si>
    <t>Software Engineer</t>
  </si>
  <si>
    <t>Software Engineering</t>
  </si>
  <si>
    <t>Alex Sweetwater</t>
  </si>
  <si>
    <t>Widowed</t>
  </si>
  <si>
    <t>Ketsia Liebig</t>
  </si>
  <si>
    <t>Employee Referral</t>
  </si>
  <si>
    <t>Black or African American</t>
  </si>
  <si>
    <t>Brannon Miller</t>
  </si>
  <si>
    <t>Diversity Job Fair</t>
  </si>
  <si>
    <t>IT Support</t>
  </si>
  <si>
    <t>Peter Monroe</t>
  </si>
  <si>
    <t>Yes</t>
  </si>
  <si>
    <t>Another position</t>
  </si>
  <si>
    <t>David Stanley</t>
  </si>
  <si>
    <t>unhappy</t>
  </si>
  <si>
    <t>Data Analyst</t>
  </si>
  <si>
    <t>TX</t>
  </si>
  <si>
    <t>Two or more races</t>
  </si>
  <si>
    <t>Kelley Spirea</t>
  </si>
  <si>
    <t>On-line Web application</t>
  </si>
  <si>
    <t>attendance</t>
  </si>
  <si>
    <t>Terminated for Cause</t>
  </si>
  <si>
    <t>Eligible NonCitizen</t>
  </si>
  <si>
    <t>Database Administrator</t>
  </si>
  <si>
    <t>performance</t>
  </si>
  <si>
    <t>Asian</t>
  </si>
  <si>
    <t>CareerBuilder</t>
  </si>
  <si>
    <t>Needs Improvement</t>
  </si>
  <si>
    <t>Enterprise Architect</t>
  </si>
  <si>
    <t>CT</t>
  </si>
  <si>
    <t>Learned that he is a gangster</t>
  </si>
  <si>
    <t>Sr. Accountant</t>
  </si>
  <si>
    <t>Admin Offices</t>
  </si>
  <si>
    <t>Brandon R. LeBlanc</t>
  </si>
  <si>
    <t>Production Manager</t>
  </si>
  <si>
    <t>retiring</t>
  </si>
  <si>
    <t>Janet King</t>
  </si>
  <si>
    <t>Accountant I</t>
  </si>
  <si>
    <t>Separated</t>
  </si>
  <si>
    <t>Area Sales Manager</t>
  </si>
  <si>
    <t>VA</t>
  </si>
  <si>
    <t>Sales</t>
  </si>
  <si>
    <t>John Smith</t>
  </si>
  <si>
    <t>Software Engineering Manager</t>
  </si>
  <si>
    <t>Jennifer Zamora</t>
  </si>
  <si>
    <t>VT</t>
  </si>
  <si>
    <t>BI Director</t>
  </si>
  <si>
    <t>Lynn Daneault</t>
  </si>
  <si>
    <t>relocation out of area</t>
  </si>
  <si>
    <t>Non-Citizen</t>
  </si>
  <si>
    <t>Eric Dougall</t>
  </si>
  <si>
    <t>Director of Operations</t>
  </si>
  <si>
    <t>Sr. Network Engineer</t>
  </si>
  <si>
    <t>Sales Manager</t>
  </si>
  <si>
    <t>Debra Houlihan</t>
  </si>
  <si>
    <t>AL</t>
  </si>
  <si>
    <t>PIP</t>
  </si>
  <si>
    <t>more money</t>
  </si>
  <si>
    <t>BI Developer</t>
  </si>
  <si>
    <t>Brian Champaigne</t>
  </si>
  <si>
    <t>WA</t>
  </si>
  <si>
    <t>Website</t>
  </si>
  <si>
    <t>IT Manager - Support</t>
  </si>
  <si>
    <t>CA</t>
  </si>
  <si>
    <t>military</t>
  </si>
  <si>
    <t>no-call, no-show</t>
  </si>
  <si>
    <t>Network Engineer</t>
  </si>
  <si>
    <t>Fatal attraction</t>
  </si>
  <si>
    <t>IT Director</t>
  </si>
  <si>
    <t>no</t>
  </si>
  <si>
    <t>Board of Directors</t>
  </si>
  <si>
    <t>Other</t>
  </si>
  <si>
    <t>OH</t>
  </si>
  <si>
    <t>IN</t>
  </si>
  <si>
    <t>American Indian or Alaska Native</t>
  </si>
  <si>
    <t>TN</t>
  </si>
  <si>
    <t>NH</t>
  </si>
  <si>
    <t>Director of Sales</t>
  </si>
  <si>
    <t>RI</t>
  </si>
  <si>
    <t>Administrative Assistant</t>
  </si>
  <si>
    <t>PA</t>
  </si>
  <si>
    <t>maternity leave - did not return</t>
  </si>
  <si>
    <t>CO</t>
  </si>
  <si>
    <t>President &amp; CEO</t>
  </si>
  <si>
    <t>Executive Office</t>
  </si>
  <si>
    <t>NY</t>
  </si>
  <si>
    <t>Senior BI Developer</t>
  </si>
  <si>
    <t>Shared Services Manager</t>
  </si>
  <si>
    <t>UT</t>
  </si>
  <si>
    <t>yes</t>
  </si>
  <si>
    <t>Hispanic</t>
  </si>
  <si>
    <t>IT Manager - Infra</t>
  </si>
  <si>
    <t>GA</t>
  </si>
  <si>
    <t>FL</t>
  </si>
  <si>
    <t>NC</t>
  </si>
  <si>
    <t>medical issues</t>
  </si>
  <si>
    <t>KY</t>
  </si>
  <si>
    <t>ID</t>
  </si>
  <si>
    <t>Principal Data Architect</t>
  </si>
  <si>
    <t>Data Architect</t>
  </si>
  <si>
    <t>IT Manager - DB</t>
  </si>
  <si>
    <t xml:space="preserve">Data Analyst </t>
  </si>
  <si>
    <t>NV</t>
  </si>
  <si>
    <t>MT</t>
  </si>
  <si>
    <t>OR</t>
  </si>
  <si>
    <t>ND</t>
  </si>
  <si>
    <t>AZ</t>
  </si>
  <si>
    <t>ME</t>
  </si>
  <si>
    <t>gross misconduct</t>
  </si>
  <si>
    <t>CIO</t>
  </si>
  <si>
    <t>Adinolfi Wilson  K</t>
  </si>
  <si>
    <t>Ait Sidi Karthikeyan</t>
  </si>
  <si>
    <t>Akinkuolie Sarah</t>
  </si>
  <si>
    <t>Anderson Carol</t>
  </si>
  <si>
    <t>Anderson Linda</t>
  </si>
  <si>
    <t>Andreola Colby</t>
  </si>
  <si>
    <t>Athwal Sam</t>
  </si>
  <si>
    <t>Bachiochi Linda</t>
  </si>
  <si>
    <t>Bacong Alejandro</t>
  </si>
  <si>
    <t>Baczenski Rachael</t>
  </si>
  <si>
    <t>Barbara Thomas</t>
  </si>
  <si>
    <t>Barbossa Hector</t>
  </si>
  <si>
    <t>Barone Francesco  A</t>
  </si>
  <si>
    <t>Barton Nader</t>
  </si>
  <si>
    <t>Bates Norman</t>
  </si>
  <si>
    <t>Beak Kimberly</t>
  </si>
  <si>
    <t>Beatrice Courtney</t>
  </si>
  <si>
    <t>Becker Renee</t>
  </si>
  <si>
    <t>Becker Scott</t>
  </si>
  <si>
    <t>Bernstein Sean</t>
  </si>
  <si>
    <t>Biden Lowan  M</t>
  </si>
  <si>
    <t>Billis Helen</t>
  </si>
  <si>
    <t>Blount Dianna</t>
  </si>
  <si>
    <t>Bondwell Betsy</t>
  </si>
  <si>
    <t>Booth Frank</t>
  </si>
  <si>
    <t>Boutwell Bonalyn</t>
  </si>
  <si>
    <t>Bozzi Charles</t>
  </si>
  <si>
    <t>Brill Donna</t>
  </si>
  <si>
    <t>Brown Mia</t>
  </si>
  <si>
    <t>Buccheri Joseph</t>
  </si>
  <si>
    <t>Bugali Josephine</t>
  </si>
  <si>
    <t>Bunbury Jessica</t>
  </si>
  <si>
    <t>Burke Joelle</t>
  </si>
  <si>
    <t>Burkett Benjamin</t>
  </si>
  <si>
    <t>Cady Max</t>
  </si>
  <si>
    <t>Candie Calvin</t>
  </si>
  <si>
    <t>Carabbio Judith</t>
  </si>
  <si>
    <t>Carey Michael</t>
  </si>
  <si>
    <t>Carr Claudia  N</t>
  </si>
  <si>
    <t>Carter Michelle</t>
  </si>
  <si>
    <t>Chace Beatrice</t>
  </si>
  <si>
    <t>Champaigne Brian</t>
  </si>
  <si>
    <t>Chan Lin</t>
  </si>
  <si>
    <t>Chang Donovan  E</t>
  </si>
  <si>
    <t>Chigurh Anton</t>
  </si>
  <si>
    <t>Chivukula Enola</t>
  </si>
  <si>
    <t>Cierpiszewski Caroline</t>
  </si>
  <si>
    <t>Clayton Rick</t>
  </si>
  <si>
    <t>Cloninger Jennifer</t>
  </si>
  <si>
    <t>Close Phil</t>
  </si>
  <si>
    <t>Clukey Elijian</t>
  </si>
  <si>
    <t>Cockel James</t>
  </si>
  <si>
    <t>Cole Spencer</t>
  </si>
  <si>
    <t>Corleone Michael</t>
  </si>
  <si>
    <t>Corleone Vito</t>
  </si>
  <si>
    <t>Cornett Lisa</t>
  </si>
  <si>
    <t>Costello Frank</t>
  </si>
  <si>
    <t>Crimmings   Jean</t>
  </si>
  <si>
    <t>Cross Noah</t>
  </si>
  <si>
    <t>Daneault Lynn</t>
  </si>
  <si>
    <t>Daniele Ann</t>
  </si>
  <si>
    <t>Darson Jene'ya</t>
  </si>
  <si>
    <t>Davis Daniel</t>
  </si>
  <si>
    <t>Dee Randy</t>
  </si>
  <si>
    <t>DeGweck  James</t>
  </si>
  <si>
    <t>Del Bosque Keyla</t>
  </si>
  <si>
    <t>Delarge Alex</t>
  </si>
  <si>
    <t>Demita Carla</t>
  </si>
  <si>
    <t>Desimone Carl</t>
  </si>
  <si>
    <t>DeVito Tommy</t>
  </si>
  <si>
    <t>Dickinson Geoff</t>
  </si>
  <si>
    <t>Dietrich Jenna</t>
  </si>
  <si>
    <t>DiNocco Lily</t>
  </si>
  <si>
    <t>Dobrin Denisa  S</t>
  </si>
  <si>
    <t>Dolan Linda</t>
  </si>
  <si>
    <t>Dougall Eric</t>
  </si>
  <si>
    <t>Driver Elle</t>
  </si>
  <si>
    <t>Dunn Amy</t>
  </si>
  <si>
    <t>Dunne Amy</t>
  </si>
  <si>
    <t>Eaton Marianne</t>
  </si>
  <si>
    <t>Engdahl Jean</t>
  </si>
  <si>
    <t>England Rex</t>
  </si>
  <si>
    <t>Erilus Angela</t>
  </si>
  <si>
    <t>Estremera Miguel</t>
  </si>
  <si>
    <t>Evensen April</t>
  </si>
  <si>
    <t>Exantus Susan</t>
  </si>
  <si>
    <t>Faller Megan</t>
  </si>
  <si>
    <t>Fancett Nicole</t>
  </si>
  <si>
    <t>Ferguson Susan</t>
  </si>
  <si>
    <t>Fernandes Nilson</t>
  </si>
  <si>
    <t>Fett Boba</t>
  </si>
  <si>
    <t>Fidelia  Libby</t>
  </si>
  <si>
    <t>Fitzpatrick Michael  J</t>
  </si>
  <si>
    <t>Foreman Tanya</t>
  </si>
  <si>
    <t>Forrest Alex</t>
  </si>
  <si>
    <t>Foss Jason</t>
  </si>
  <si>
    <t>Foster-Baker Amy</t>
  </si>
  <si>
    <t>Fraval Maruk</t>
  </si>
  <si>
    <t>Galia Lisa</t>
  </si>
  <si>
    <t>Garcia Raul</t>
  </si>
  <si>
    <t>Gaul Barbara</t>
  </si>
  <si>
    <t>Gentry Mildred</t>
  </si>
  <si>
    <t>Gerke Melisa</t>
  </si>
  <si>
    <t>Gill Whitney</t>
  </si>
  <si>
    <t>Gilles Alex</t>
  </si>
  <si>
    <t>Girifalco Evelyn</t>
  </si>
  <si>
    <t>Givens Myriam</t>
  </si>
  <si>
    <t>Goble Taisha</t>
  </si>
  <si>
    <t>Goeth Amon</t>
  </si>
  <si>
    <t>Gold Shenice</t>
  </si>
  <si>
    <t>Gonzalez Cayo</t>
  </si>
  <si>
    <t>Gonzalez Juan</t>
  </si>
  <si>
    <t>Gonzalez Maria</t>
  </si>
  <si>
    <t>Good Susan</t>
  </si>
  <si>
    <t>Gordon David</t>
  </si>
  <si>
    <t>Gosciminski Phylicia</t>
  </si>
  <si>
    <t>Goyal Roxana</t>
  </si>
  <si>
    <t>Gray Elijiah</t>
  </si>
  <si>
    <t>Gross Paula</t>
  </si>
  <si>
    <t>Gruber Hans</t>
  </si>
  <si>
    <t>Guilianno Mike</t>
  </si>
  <si>
    <t>Handschiegl Joanne</t>
  </si>
  <si>
    <t>Hankard Earnest</t>
  </si>
  <si>
    <t>Harrington Christie</t>
  </si>
  <si>
    <t>Harrison Kara</t>
  </si>
  <si>
    <t>Heitzman Anthony</t>
  </si>
  <si>
    <t>Hendrickson Trina</t>
  </si>
  <si>
    <t>Hitchcock Alfred</t>
  </si>
  <si>
    <t>Homberger Adrienne  J</t>
  </si>
  <si>
    <t>Horton Jayne</t>
  </si>
  <si>
    <t>Houlihan Debra</t>
  </si>
  <si>
    <t>Howard Estelle</t>
  </si>
  <si>
    <t>Hudson Jane</t>
  </si>
  <si>
    <t>Hunts Julissa</t>
  </si>
  <si>
    <t>Hutter Rosalie</t>
  </si>
  <si>
    <t>Huynh Ming</t>
  </si>
  <si>
    <t>Immediato Walter</t>
  </si>
  <si>
    <t>Ivey Rose</t>
  </si>
  <si>
    <t>Jackson Maryellen</t>
  </si>
  <si>
    <t>Jacobi Hannah</t>
  </si>
  <si>
    <t>Jeannite Tayana</t>
  </si>
  <si>
    <t>Jhaveri Sneha</t>
  </si>
  <si>
    <t>Johnson George</t>
  </si>
  <si>
    <t>Johnson Noelle</t>
  </si>
  <si>
    <t>Johnston Yen</t>
  </si>
  <si>
    <t>Jung Judy</t>
  </si>
  <si>
    <t>Kampew Donysha</t>
  </si>
  <si>
    <t>Keatts Kramer</t>
  </si>
  <si>
    <t>Khemmich Bartholemew</t>
  </si>
  <si>
    <t>King Janet</t>
  </si>
  <si>
    <t>Kinsella Kathleen</t>
  </si>
  <si>
    <t>Kirill Alexandra</t>
  </si>
  <si>
    <t>Knapp Bradley  J</t>
  </si>
  <si>
    <t>Kretschmer John</t>
  </si>
  <si>
    <t>Kreuger Freddy</t>
  </si>
  <si>
    <t>Lajiri  Jyoti</t>
  </si>
  <si>
    <t>Landa Hans</t>
  </si>
  <si>
    <t>Langford Lindsey</t>
  </si>
  <si>
    <t>Langton Enrico</t>
  </si>
  <si>
    <t>LaRotonda William</t>
  </si>
  <si>
    <t>Latif Mohammed</t>
  </si>
  <si>
    <t>Le Binh</t>
  </si>
  <si>
    <t>Leach Dallas</t>
  </si>
  <si>
    <t>LeBlanc Brandon  R</t>
  </si>
  <si>
    <t>Lecter Hannibal</t>
  </si>
  <si>
    <t>Leruth Giovanni</t>
  </si>
  <si>
    <t>Liebig Ketsia</t>
  </si>
  <si>
    <t>Linares Marilyn</t>
  </si>
  <si>
    <t>Linden Mathew</t>
  </si>
  <si>
    <t>Lindsay Leonara</t>
  </si>
  <si>
    <t>Lundy Susan</t>
  </si>
  <si>
    <t>Lunquist Lisa</t>
  </si>
  <si>
    <t>Lydon Allison</t>
  </si>
  <si>
    <t>Lynch Lindsay</t>
  </si>
  <si>
    <t>MacLennan Samuel</t>
  </si>
  <si>
    <t>Mahoney Lauren</t>
  </si>
  <si>
    <t>Manchester Robyn</t>
  </si>
  <si>
    <t>Mancuso Karen</t>
  </si>
  <si>
    <t>Mangal Debbie</t>
  </si>
  <si>
    <t>Martin Sandra</t>
  </si>
  <si>
    <t>Maurice Shana</t>
  </si>
  <si>
    <t>Carthy B'rigit</t>
  </si>
  <si>
    <t>Mckenna Sandy</t>
  </si>
  <si>
    <t>McKinzie Jac</t>
  </si>
  <si>
    <t>Meads Elizabeth</t>
  </si>
  <si>
    <t>Medeiros Jennifer</t>
  </si>
  <si>
    <t>Miller Brannon</t>
  </si>
  <si>
    <t>Miller Ned</t>
  </si>
  <si>
    <t>Monkfish Erasumus</t>
  </si>
  <si>
    <t>Monroe Peter</t>
  </si>
  <si>
    <t>Monterro Luisa</t>
  </si>
  <si>
    <t>Moran Patrick</t>
  </si>
  <si>
    <t>Morway Tanya</t>
  </si>
  <si>
    <t>Motlagh  Dawn</t>
  </si>
  <si>
    <t>Moumanil Maliki</t>
  </si>
  <si>
    <t>Myers Michael</t>
  </si>
  <si>
    <t>Navathe Kurt</t>
  </si>
  <si>
    <t>Ndzi Colombui</t>
  </si>
  <si>
    <t>Ndzi Horia</t>
  </si>
  <si>
    <t>Newman Richard</t>
  </si>
  <si>
    <t>Ngodup Shari</t>
  </si>
  <si>
    <t>Nguyen Dheepa</t>
  </si>
  <si>
    <t>Nguyen Lei-Ming</t>
  </si>
  <si>
    <t>Nowlan Kristie</t>
  </si>
  <si>
    <t>O'hare Lynn</t>
  </si>
  <si>
    <t>Oliver Brooke</t>
  </si>
  <si>
    <t>Onque Jasmine</t>
  </si>
  <si>
    <t>Osturnka Adeel</t>
  </si>
  <si>
    <t>Owad Clinton</t>
  </si>
  <si>
    <t>Ozark Travis</t>
  </si>
  <si>
    <t>Panjwani Nina</t>
  </si>
  <si>
    <t>Patronick Lucas</t>
  </si>
  <si>
    <t>Pearson Randall</t>
  </si>
  <si>
    <t>Smith Martin</t>
  </si>
  <si>
    <t>Pelletier Ermine</t>
  </si>
  <si>
    <t>Perry Shakira</t>
  </si>
  <si>
    <t>Peters Lauren</t>
  </si>
  <si>
    <t>Peterson Ebonee</t>
  </si>
  <si>
    <t>Petingill Shana</t>
  </si>
  <si>
    <t>Petrowsky Thelma</t>
  </si>
  <si>
    <t>Pham Hong</t>
  </si>
  <si>
    <t>Pitt Brad</t>
  </si>
  <si>
    <t>Potts Xana</t>
  </si>
  <si>
    <t>Power Morissa</t>
  </si>
  <si>
    <t>Punjabhi Louis</t>
  </si>
  <si>
    <t>Purinton Janine</t>
  </si>
  <si>
    <t>Quinn Sean</t>
  </si>
  <si>
    <t>Rachael Maggie</t>
  </si>
  <si>
    <t>Rarrick Quinn</t>
  </si>
  <si>
    <t>Ren Kylo</t>
  </si>
  <si>
    <t>Rhoads Thomas</t>
  </si>
  <si>
    <t>Rivera Haley</t>
  </si>
  <si>
    <t>Roberson May</t>
  </si>
  <si>
    <t>Robertson Peter</t>
  </si>
  <si>
    <t>Robinson Alain</t>
  </si>
  <si>
    <t>Robinson Cherly</t>
  </si>
  <si>
    <t>Robinson Elias</t>
  </si>
  <si>
    <t>Roby Lori</t>
  </si>
  <si>
    <t>Roehrich Bianca</t>
  </si>
  <si>
    <t>Roper Katie</t>
  </si>
  <si>
    <t>Rose Ashley</t>
  </si>
  <si>
    <t>Rossetti Bruno</t>
  </si>
  <si>
    <t>Roup Roup,Simon</t>
  </si>
  <si>
    <t>Ruiz Ricardo</t>
  </si>
  <si>
    <t>Saada Adell</t>
  </si>
  <si>
    <t>Saar-Beckles Melinda</t>
  </si>
  <si>
    <t>Sadki Nore</t>
  </si>
  <si>
    <t>Sahoo Adil</t>
  </si>
  <si>
    <t>Salter Jason</t>
  </si>
  <si>
    <t>Sander Kamrin</t>
  </si>
  <si>
    <t>Sewkumar Nori</t>
  </si>
  <si>
    <t>Shepard Anita</t>
  </si>
  <si>
    <t>Shields Seffi</t>
  </si>
  <si>
    <t>Simard Kramer</t>
  </si>
  <si>
    <t>Singh Nan</t>
  </si>
  <si>
    <t>Sloan Constance</t>
  </si>
  <si>
    <t>Smith Joe</t>
  </si>
  <si>
    <t>Smith John</t>
  </si>
  <si>
    <t>Smith Leigh Ann</t>
  </si>
  <si>
    <t>Smith Sade</t>
  </si>
  <si>
    <t>Soto Julia</t>
  </si>
  <si>
    <t>Soze Keyser</t>
  </si>
  <si>
    <t>Sparks Taylor</t>
  </si>
  <si>
    <t>Spirea Kelley</t>
  </si>
  <si>
    <t>Squatrito Kristen</t>
  </si>
  <si>
    <t>Stanford Barbara  M</t>
  </si>
  <si>
    <t>Stansfield Norman</t>
  </si>
  <si>
    <t>Steans Tyrone</t>
  </si>
  <si>
    <t>Stoica Rick</t>
  </si>
  <si>
    <t>Strong Caitrin</t>
  </si>
  <si>
    <t>Sullivan Kissy</t>
  </si>
  <si>
    <t>Sullivan Timothy</t>
  </si>
  <si>
    <t>Sutwell Barbara</t>
  </si>
  <si>
    <t>Szabo Andrew</t>
  </si>
  <si>
    <t>Tannen Biff</t>
  </si>
  <si>
    <t>Tavares Desiree</t>
  </si>
  <si>
    <t>Tejeda Lenora</t>
  </si>
  <si>
    <t>Terry Sharlene</t>
  </si>
  <si>
    <t>Theamstern Sophia</t>
  </si>
  <si>
    <t>Thibaud Kenneth</t>
  </si>
  <si>
    <t>Tippett Jeanette</t>
  </si>
  <si>
    <t>Torrence Jack</t>
  </si>
  <si>
    <t>Trang Mei</t>
  </si>
  <si>
    <t>Tredinnick Neville</t>
  </si>
  <si>
    <t>TRUE Edward</t>
  </si>
  <si>
    <t>Trzeciak Cybil</t>
  </si>
  <si>
    <t>Turpin Jumil</t>
  </si>
  <si>
    <t>Valentin Valentin,Jackie</t>
  </si>
  <si>
    <t>Veera Abdellah</t>
  </si>
  <si>
    <t>Vega Vincent</t>
  </si>
  <si>
    <t>Villanueva Noah</t>
  </si>
  <si>
    <t>Voldemort Lord</t>
  </si>
  <si>
    <t>Volk Colleen</t>
  </si>
  <si>
    <t>Von Massenbach Anna</t>
  </si>
  <si>
    <t>Walker Roger</t>
  </si>
  <si>
    <t>Wallace Courtney  E</t>
  </si>
  <si>
    <t>Wallace Theresa</t>
  </si>
  <si>
    <t>Wang Charlie</t>
  </si>
  <si>
    <t>Warfield Sarah</t>
  </si>
  <si>
    <t>Whittier Scott</t>
  </si>
  <si>
    <t>Wilber Barry</t>
  </si>
  <si>
    <t>Wilkes Annie</t>
  </si>
  <si>
    <t>Williams Jacquelyn</t>
  </si>
  <si>
    <t>Winthrop Jordan</t>
  </si>
  <si>
    <t>Wolk Hang  T</t>
  </si>
  <si>
    <t>Woodson Jason</t>
  </si>
  <si>
    <t>Ybarra Catherine</t>
  </si>
  <si>
    <t>Zamora Jennifer</t>
  </si>
  <si>
    <t>Zhou Julia</t>
  </si>
  <si>
    <t>Zima Colleen</t>
  </si>
  <si>
    <t>Alagbe Trina</t>
  </si>
  <si>
    <t>Age</t>
  </si>
  <si>
    <t>Attrition</t>
  </si>
  <si>
    <t>Experience</t>
  </si>
  <si>
    <t>Experience group</t>
  </si>
  <si>
    <t xml:space="preserve">Salary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</si>
</sst>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B677-92DA-4EAF-B978-B615509B6B35}">
  <dimension ref="A1:AF312"/>
  <sheetViews>
    <sheetView tabSelected="1" topLeftCell="G1" workbookViewId="0">
      <selection activeCell="L1" sqref="L1:L1048576"/>
    </sheetView>
  </sheetViews>
  <sheetFormatPr defaultRowHeight="14.4" x14ac:dyDescent="0.3"/>
  <cols>
    <col min="1" max="1" width="21.109375" bestFit="1" customWidth="1"/>
    <col min="10" max="10" width="10.33203125" bestFit="1" customWidth="1"/>
    <col min="11" max="11" width="10.33203125" customWidth="1"/>
    <col min="17" max="17" width="10.33203125" bestFit="1" customWidth="1"/>
    <col min="18" max="18" width="16.6640625" bestFit="1" customWidth="1"/>
    <col min="19" max="20" width="16.6640625" customWidth="1"/>
    <col min="21" max="21" width="26.77734375" bestFit="1" customWidth="1"/>
    <col min="22" max="22" width="19.77734375" bestFit="1" customWidth="1"/>
    <col min="23" max="23" width="18.44140625" bestFit="1" customWidth="1"/>
    <col min="24" max="24" width="16.88671875" bestFit="1" customWidth="1"/>
    <col min="25" max="25" width="20.77734375" bestFit="1" customWidth="1"/>
    <col min="26" max="26" width="17.77734375" bestFit="1" customWidth="1"/>
    <col min="27" max="27" width="16.44140625" bestFit="1" customWidth="1"/>
    <col min="30" max="30" width="26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483</v>
      </c>
      <c r="F1" t="s">
        <v>4</v>
      </c>
      <c r="G1" t="s">
        <v>480</v>
      </c>
      <c r="H1" t="s">
        <v>5</v>
      </c>
      <c r="I1" t="s">
        <v>6</v>
      </c>
      <c r="J1" t="s">
        <v>7</v>
      </c>
      <c r="K1" t="s">
        <v>479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481</v>
      </c>
      <c r="T1" t="s">
        <v>482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</row>
    <row r="2" spans="1:32" x14ac:dyDescent="0.3">
      <c r="A2" t="s">
        <v>168</v>
      </c>
      <c r="B2">
        <v>1</v>
      </c>
      <c r="C2">
        <v>5</v>
      </c>
      <c r="D2">
        <v>62506</v>
      </c>
      <c r="E2" t="str">
        <f>IF(D2&lt;30000,"Low",IF(D2&lt;60000,"Medium", "High"))</f>
        <v>High</v>
      </c>
      <c r="F2">
        <v>0</v>
      </c>
      <c r="G2" t="str">
        <f>IF(F2=1,"Yes", "No")</f>
        <v>No</v>
      </c>
      <c r="H2" t="s">
        <v>27</v>
      </c>
      <c r="I2" t="s">
        <v>28</v>
      </c>
      <c r="J2" s="1">
        <v>30507</v>
      </c>
      <c r="K2" s="2">
        <f ca="1">YEAR(TODAY())-YEAR(J2)</f>
        <v>43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s="1">
        <v>40729</v>
      </c>
      <c r="S2" s="2">
        <f ca="1">IF(ISBLANK(R2), (TODAY()-Q2)/365,(R2-Q2)/365)</f>
        <v>14.753424657534246</v>
      </c>
      <c r="T2" s="2" t="str">
        <f ca="1">IF(S2&lt;=2,"0-2 Years", IF(S2&lt;=5,"3-5 Years", IF(S2&lt;=10,"6-10 Years", "10+ Years")))</f>
        <v>10+ Years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>
        <v>4.5999999999999996</v>
      </c>
      <c r="AB2">
        <v>5</v>
      </c>
      <c r="AC2">
        <v>0</v>
      </c>
      <c r="AD2" s="1">
        <v>43482</v>
      </c>
      <c r="AE2">
        <v>0</v>
      </c>
      <c r="AF2">
        <v>1</v>
      </c>
    </row>
    <row r="3" spans="1:32" x14ac:dyDescent="0.3">
      <c r="A3" t="s">
        <v>169</v>
      </c>
      <c r="B3">
        <v>5</v>
      </c>
      <c r="C3">
        <v>3</v>
      </c>
      <c r="D3">
        <v>104437</v>
      </c>
      <c r="E3" t="str">
        <f t="shared" ref="E3:E66" si="0">IF(D3&lt;30000,"Low",IF(D3&lt;60000,"Medium", "High"))</f>
        <v>High</v>
      </c>
      <c r="F3">
        <v>1</v>
      </c>
      <c r="G3" t="str">
        <f t="shared" ref="G3:G66" si="1">IF(F3=1,"Yes", "No")</f>
        <v>Yes</v>
      </c>
      <c r="H3" t="s">
        <v>40</v>
      </c>
      <c r="I3" t="s">
        <v>28</v>
      </c>
      <c r="J3" s="1">
        <v>27519</v>
      </c>
      <c r="K3" s="2">
        <f t="shared" ref="K3:K66" ca="1" si="2">YEAR(TODAY())-YEAR(J3)</f>
        <v>51</v>
      </c>
      <c r="L3" t="s">
        <v>29</v>
      </c>
      <c r="M3" t="s">
        <v>41</v>
      </c>
      <c r="N3" t="s">
        <v>31</v>
      </c>
      <c r="O3" t="s">
        <v>32</v>
      </c>
      <c r="P3" t="s">
        <v>33</v>
      </c>
      <c r="Q3" s="1">
        <v>42093</v>
      </c>
      <c r="R3" s="1">
        <v>42537</v>
      </c>
      <c r="S3" s="2">
        <f t="shared" ref="S3:S66" ca="1" si="3">IF(ISBLANK(R3), (TODAY()-Q3)/365,(R3-Q3)/365)</f>
        <v>1.2164383561643837</v>
      </c>
      <c r="T3" s="2" t="str">
        <f t="shared" ref="T3:T66" ca="1" si="4">IF(S3&lt;=2,"0-2 Years", IF(S3&lt;=5,"3-5 Years", IF(S3&lt;=10,"6-10 Years", "10+ Years")))</f>
        <v>0-2 Years</v>
      </c>
      <c r="U3" t="s">
        <v>42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>
        <v>4.96</v>
      </c>
      <c r="AB3">
        <v>3</v>
      </c>
      <c r="AC3">
        <v>6</v>
      </c>
      <c r="AD3" s="1">
        <v>42424</v>
      </c>
      <c r="AE3">
        <v>0</v>
      </c>
      <c r="AF3">
        <v>17</v>
      </c>
    </row>
    <row r="4" spans="1:32" x14ac:dyDescent="0.3">
      <c r="A4" t="s">
        <v>170</v>
      </c>
      <c r="B4">
        <v>5</v>
      </c>
      <c r="C4">
        <v>5</v>
      </c>
      <c r="D4">
        <v>64955</v>
      </c>
      <c r="E4" t="str">
        <f t="shared" si="0"/>
        <v>High</v>
      </c>
      <c r="F4">
        <v>1</v>
      </c>
      <c r="G4" t="str">
        <f t="shared" si="1"/>
        <v>Yes</v>
      </c>
      <c r="H4" t="s">
        <v>48</v>
      </c>
      <c r="I4" t="s">
        <v>28</v>
      </c>
      <c r="J4" s="1">
        <v>32405</v>
      </c>
      <c r="K4" s="2">
        <f t="shared" ca="1" si="2"/>
        <v>38</v>
      </c>
      <c r="L4" t="s">
        <v>49</v>
      </c>
      <c r="M4" t="s">
        <v>41</v>
      </c>
      <c r="N4" t="s">
        <v>31</v>
      </c>
      <c r="O4" t="s">
        <v>32</v>
      </c>
      <c r="P4" t="s">
        <v>33</v>
      </c>
      <c r="Q4" s="1">
        <v>40729</v>
      </c>
      <c r="R4" s="1">
        <v>41176</v>
      </c>
      <c r="S4" s="2">
        <f t="shared" ca="1" si="3"/>
        <v>1.2246575342465753</v>
      </c>
      <c r="T4" s="2" t="str">
        <f t="shared" ca="1" si="4"/>
        <v>0-2 Years</v>
      </c>
      <c r="U4" t="s">
        <v>50</v>
      </c>
      <c r="V4" t="s">
        <v>43</v>
      </c>
      <c r="W4" t="s">
        <v>36</v>
      </c>
      <c r="X4" t="s">
        <v>51</v>
      </c>
      <c r="Y4" t="s">
        <v>38</v>
      </c>
      <c r="Z4" t="s">
        <v>47</v>
      </c>
      <c r="AA4">
        <v>3.02</v>
      </c>
      <c r="AB4">
        <v>3</v>
      </c>
      <c r="AC4">
        <v>0</v>
      </c>
      <c r="AD4" s="1">
        <v>41044</v>
      </c>
      <c r="AE4">
        <v>0</v>
      </c>
      <c r="AF4">
        <v>3</v>
      </c>
    </row>
    <row r="5" spans="1:32" x14ac:dyDescent="0.3">
      <c r="A5" t="s">
        <v>478</v>
      </c>
      <c r="B5">
        <v>1</v>
      </c>
      <c r="C5">
        <v>5</v>
      </c>
      <c r="D5">
        <v>64991</v>
      </c>
      <c r="E5" t="str">
        <f t="shared" si="0"/>
        <v>High</v>
      </c>
      <c r="F5">
        <v>0</v>
      </c>
      <c r="G5" t="str">
        <f t="shared" si="1"/>
        <v>No</v>
      </c>
      <c r="H5" t="s">
        <v>27</v>
      </c>
      <c r="I5" t="s">
        <v>28</v>
      </c>
      <c r="J5" s="1">
        <v>32413</v>
      </c>
      <c r="K5" s="2">
        <f t="shared" ca="1" si="2"/>
        <v>38</v>
      </c>
      <c r="L5" t="s">
        <v>49</v>
      </c>
      <c r="M5" t="s">
        <v>41</v>
      </c>
      <c r="N5" t="s">
        <v>31</v>
      </c>
      <c r="O5" t="s">
        <v>32</v>
      </c>
      <c r="P5" t="s">
        <v>33</v>
      </c>
      <c r="Q5" s="1">
        <v>39454</v>
      </c>
      <c r="S5" s="2">
        <f t="shared" ca="1" si="3"/>
        <v>18.246575342465754</v>
      </c>
      <c r="T5" s="2" t="str">
        <f t="shared" ca="1" si="4"/>
        <v>10+ Years</v>
      </c>
      <c r="U5" t="s">
        <v>34</v>
      </c>
      <c r="V5" t="s">
        <v>35</v>
      </c>
      <c r="W5" t="s">
        <v>36</v>
      </c>
      <c r="X5" t="s">
        <v>52</v>
      </c>
      <c r="Y5" t="s">
        <v>46</v>
      </c>
      <c r="Z5" t="s">
        <v>47</v>
      </c>
      <c r="AA5">
        <v>4.84</v>
      </c>
      <c r="AB5">
        <v>5</v>
      </c>
      <c r="AC5">
        <v>0</v>
      </c>
      <c r="AD5" s="1">
        <v>43468</v>
      </c>
      <c r="AE5">
        <v>0</v>
      </c>
      <c r="AF5">
        <v>15</v>
      </c>
    </row>
    <row r="6" spans="1:32" x14ac:dyDescent="0.3">
      <c r="A6" t="s">
        <v>171</v>
      </c>
      <c r="B6">
        <v>5</v>
      </c>
      <c r="C6">
        <v>5</v>
      </c>
      <c r="D6">
        <v>50825</v>
      </c>
      <c r="E6" t="str">
        <f t="shared" si="0"/>
        <v>Medium</v>
      </c>
      <c r="F6">
        <v>1</v>
      </c>
      <c r="G6" t="str">
        <f t="shared" si="1"/>
        <v>Yes</v>
      </c>
      <c r="H6" t="s">
        <v>27</v>
      </c>
      <c r="I6" t="s">
        <v>28</v>
      </c>
      <c r="J6" s="1">
        <v>32759</v>
      </c>
      <c r="K6" s="2">
        <f t="shared" ca="1" si="2"/>
        <v>37</v>
      </c>
      <c r="L6" t="s">
        <v>49</v>
      </c>
      <c r="M6" t="s">
        <v>53</v>
      </c>
      <c r="N6" t="s">
        <v>31</v>
      </c>
      <c r="O6" t="s">
        <v>32</v>
      </c>
      <c r="P6" t="s">
        <v>33</v>
      </c>
      <c r="Q6" s="1">
        <v>40735</v>
      </c>
      <c r="R6" s="1">
        <v>42619</v>
      </c>
      <c r="S6" s="2">
        <f t="shared" ca="1" si="3"/>
        <v>5.161643835616438</v>
      </c>
      <c r="T6" s="2" t="str">
        <f t="shared" ca="1" si="4"/>
        <v>6-10 Years</v>
      </c>
      <c r="U6" t="s">
        <v>54</v>
      </c>
      <c r="V6" t="s">
        <v>43</v>
      </c>
      <c r="W6" t="s">
        <v>36</v>
      </c>
      <c r="X6" t="s">
        <v>55</v>
      </c>
      <c r="Y6" t="s">
        <v>56</v>
      </c>
      <c r="Z6" t="s">
        <v>47</v>
      </c>
      <c r="AA6">
        <v>5</v>
      </c>
      <c r="AB6">
        <v>4</v>
      </c>
      <c r="AC6">
        <v>0</v>
      </c>
      <c r="AD6" s="1">
        <v>42401</v>
      </c>
      <c r="AE6">
        <v>0</v>
      </c>
      <c r="AF6">
        <v>2</v>
      </c>
    </row>
    <row r="7" spans="1:32" x14ac:dyDescent="0.3">
      <c r="A7" t="s">
        <v>172</v>
      </c>
      <c r="B7">
        <v>1</v>
      </c>
      <c r="C7">
        <v>5</v>
      </c>
      <c r="D7">
        <v>57568</v>
      </c>
      <c r="E7" t="str">
        <f t="shared" si="0"/>
        <v>Medium</v>
      </c>
      <c r="F7">
        <v>0</v>
      </c>
      <c r="G7" t="str">
        <f t="shared" si="1"/>
        <v>No</v>
      </c>
      <c r="H7" t="s">
        <v>27</v>
      </c>
      <c r="I7" t="s">
        <v>28</v>
      </c>
      <c r="J7" s="1">
        <v>28267</v>
      </c>
      <c r="K7" s="2">
        <f t="shared" ca="1" si="2"/>
        <v>49</v>
      </c>
      <c r="L7" t="s">
        <v>49</v>
      </c>
      <c r="M7" t="s">
        <v>30</v>
      </c>
      <c r="N7" t="s">
        <v>31</v>
      </c>
      <c r="O7" t="s">
        <v>32</v>
      </c>
      <c r="P7" t="s">
        <v>33</v>
      </c>
      <c r="Q7" s="1">
        <v>40917</v>
      </c>
      <c r="S7" s="2">
        <f t="shared" ca="1" si="3"/>
        <v>14.238356164383562</v>
      </c>
      <c r="T7" s="2" t="str">
        <f t="shared" ca="1" si="4"/>
        <v>10+ Years</v>
      </c>
      <c r="U7" t="s">
        <v>34</v>
      </c>
      <c r="V7" t="s">
        <v>35</v>
      </c>
      <c r="W7" t="s">
        <v>36</v>
      </c>
      <c r="X7" t="s">
        <v>57</v>
      </c>
      <c r="Y7" t="s">
        <v>38</v>
      </c>
      <c r="Z7" t="s">
        <v>39</v>
      </c>
      <c r="AA7">
        <v>5</v>
      </c>
      <c r="AB7">
        <v>5</v>
      </c>
      <c r="AC7">
        <v>0</v>
      </c>
      <c r="AD7" s="1">
        <v>43472</v>
      </c>
      <c r="AE7">
        <v>0</v>
      </c>
      <c r="AF7">
        <v>15</v>
      </c>
    </row>
    <row r="8" spans="1:32" x14ac:dyDescent="0.3">
      <c r="A8" t="s">
        <v>173</v>
      </c>
      <c r="B8">
        <v>1</v>
      </c>
      <c r="C8">
        <v>4</v>
      </c>
      <c r="D8">
        <v>95660</v>
      </c>
      <c r="E8" t="str">
        <f t="shared" si="0"/>
        <v>High</v>
      </c>
      <c r="F8">
        <v>0</v>
      </c>
      <c r="G8" t="str">
        <f t="shared" si="1"/>
        <v>No</v>
      </c>
      <c r="H8" t="s">
        <v>58</v>
      </c>
      <c r="I8" t="s">
        <v>28</v>
      </c>
      <c r="J8" s="1">
        <v>28999</v>
      </c>
      <c r="K8" s="2">
        <f t="shared" ca="1" si="2"/>
        <v>47</v>
      </c>
      <c r="L8" t="s">
        <v>49</v>
      </c>
      <c r="M8" t="s">
        <v>30</v>
      </c>
      <c r="N8" t="s">
        <v>31</v>
      </c>
      <c r="O8" t="s">
        <v>32</v>
      </c>
      <c r="P8" t="s">
        <v>33</v>
      </c>
      <c r="Q8" s="1">
        <v>41953</v>
      </c>
      <c r="S8" s="2">
        <f t="shared" ca="1" si="3"/>
        <v>11.4</v>
      </c>
      <c r="T8" s="2" t="str">
        <f t="shared" ca="1" si="4"/>
        <v>10+ Years</v>
      </c>
      <c r="U8" t="s">
        <v>34</v>
      </c>
      <c r="V8" t="s">
        <v>35</v>
      </c>
      <c r="W8" t="s">
        <v>59</v>
      </c>
      <c r="X8" t="s">
        <v>60</v>
      </c>
      <c r="Y8" t="s">
        <v>38</v>
      </c>
      <c r="Z8" t="s">
        <v>47</v>
      </c>
      <c r="AA8">
        <v>3.04</v>
      </c>
      <c r="AB8">
        <v>3</v>
      </c>
      <c r="AC8">
        <v>4</v>
      </c>
      <c r="AD8" s="1">
        <v>43467</v>
      </c>
      <c r="AE8">
        <v>0</v>
      </c>
      <c r="AF8">
        <v>19</v>
      </c>
    </row>
    <row r="9" spans="1:32" x14ac:dyDescent="0.3">
      <c r="A9" t="s">
        <v>174</v>
      </c>
      <c r="B9">
        <v>1</v>
      </c>
      <c r="C9">
        <v>5</v>
      </c>
      <c r="D9">
        <v>59365</v>
      </c>
      <c r="E9" t="str">
        <f t="shared" si="0"/>
        <v>Medium</v>
      </c>
      <c r="F9">
        <v>0</v>
      </c>
      <c r="G9" t="str">
        <f t="shared" si="1"/>
        <v>No</v>
      </c>
      <c r="H9" t="s">
        <v>27</v>
      </c>
      <c r="I9" t="s">
        <v>28</v>
      </c>
      <c r="J9" s="1">
        <v>30365</v>
      </c>
      <c r="K9" s="2">
        <f t="shared" ca="1" si="2"/>
        <v>43</v>
      </c>
      <c r="L9" t="s">
        <v>29</v>
      </c>
      <c r="M9" t="s">
        <v>61</v>
      </c>
      <c r="N9" t="s">
        <v>31</v>
      </c>
      <c r="O9" t="s">
        <v>32</v>
      </c>
      <c r="P9" t="s">
        <v>33</v>
      </c>
      <c r="Q9" s="1">
        <v>41547</v>
      </c>
      <c r="S9" s="2">
        <f t="shared" ca="1" si="3"/>
        <v>12.512328767123288</v>
      </c>
      <c r="T9" s="2" t="str">
        <f t="shared" ca="1" si="4"/>
        <v>10+ Years</v>
      </c>
      <c r="U9" t="s">
        <v>34</v>
      </c>
      <c r="V9" t="s">
        <v>35</v>
      </c>
      <c r="W9" t="s">
        <v>36</v>
      </c>
      <c r="X9" t="s">
        <v>62</v>
      </c>
      <c r="Y9" t="s">
        <v>63</v>
      </c>
      <c r="Z9" t="s">
        <v>47</v>
      </c>
      <c r="AA9">
        <v>5</v>
      </c>
      <c r="AB9">
        <v>4</v>
      </c>
      <c r="AC9">
        <v>0</v>
      </c>
      <c r="AD9" s="1">
        <v>43521</v>
      </c>
      <c r="AE9">
        <v>0</v>
      </c>
      <c r="AF9">
        <v>19</v>
      </c>
    </row>
    <row r="10" spans="1:32" x14ac:dyDescent="0.3">
      <c r="A10" t="s">
        <v>175</v>
      </c>
      <c r="B10">
        <v>3</v>
      </c>
      <c r="C10">
        <v>5</v>
      </c>
      <c r="D10">
        <v>47837</v>
      </c>
      <c r="E10" t="str">
        <f t="shared" si="0"/>
        <v>Medium</v>
      </c>
      <c r="F10">
        <v>0</v>
      </c>
      <c r="G10" t="str">
        <f t="shared" si="1"/>
        <v>No</v>
      </c>
      <c r="H10" t="s">
        <v>27</v>
      </c>
      <c r="I10" t="s">
        <v>28</v>
      </c>
      <c r="J10" s="1">
        <v>25610</v>
      </c>
      <c r="K10" s="2">
        <f t="shared" ca="1" si="2"/>
        <v>56</v>
      </c>
      <c r="L10" t="s">
        <v>49</v>
      </c>
      <c r="M10" t="s">
        <v>30</v>
      </c>
      <c r="N10" t="s">
        <v>31</v>
      </c>
      <c r="O10" t="s">
        <v>32</v>
      </c>
      <c r="P10" t="s">
        <v>64</v>
      </c>
      <c r="Q10" s="1">
        <v>40000</v>
      </c>
      <c r="S10" s="2">
        <f t="shared" ca="1" si="3"/>
        <v>16.75068493150685</v>
      </c>
      <c r="T10" s="2" t="str">
        <f t="shared" ca="1" si="4"/>
        <v>10+ Years</v>
      </c>
      <c r="U10" t="s">
        <v>34</v>
      </c>
      <c r="V10" t="s">
        <v>35</v>
      </c>
      <c r="W10" t="s">
        <v>36</v>
      </c>
      <c r="X10" t="s">
        <v>65</v>
      </c>
      <c r="Y10" t="s">
        <v>66</v>
      </c>
      <c r="Z10" t="s">
        <v>47</v>
      </c>
      <c r="AA10">
        <v>4.46</v>
      </c>
      <c r="AB10">
        <v>3</v>
      </c>
      <c r="AC10">
        <v>0</v>
      </c>
      <c r="AD10" s="1">
        <v>43490</v>
      </c>
      <c r="AE10">
        <v>0</v>
      </c>
      <c r="AF10">
        <v>4</v>
      </c>
    </row>
    <row r="11" spans="1:32" x14ac:dyDescent="0.3">
      <c r="A11" t="s">
        <v>176</v>
      </c>
      <c r="B11">
        <v>1</v>
      </c>
      <c r="C11">
        <v>3</v>
      </c>
      <c r="D11">
        <v>50178</v>
      </c>
      <c r="E11" t="str">
        <f t="shared" si="0"/>
        <v>Medium</v>
      </c>
      <c r="F11">
        <v>0</v>
      </c>
      <c r="G11" t="str">
        <f t="shared" si="1"/>
        <v>No</v>
      </c>
      <c r="H11" t="s">
        <v>67</v>
      </c>
      <c r="I11" t="s">
        <v>28</v>
      </c>
      <c r="J11" s="1">
        <v>32149</v>
      </c>
      <c r="K11" s="2">
        <f t="shared" ca="1" si="2"/>
        <v>38</v>
      </c>
      <c r="L11" t="s">
        <v>29</v>
      </c>
      <c r="M11" t="s">
        <v>53</v>
      </c>
      <c r="N11" t="s">
        <v>31</v>
      </c>
      <c r="O11" t="s">
        <v>32</v>
      </c>
      <c r="P11" t="s">
        <v>33</v>
      </c>
      <c r="Q11" s="1">
        <v>42009</v>
      </c>
      <c r="S11" s="2">
        <f t="shared" ca="1" si="3"/>
        <v>11.246575342465754</v>
      </c>
      <c r="T11" s="2" t="str">
        <f t="shared" ca="1" si="4"/>
        <v>10+ Years</v>
      </c>
      <c r="U11" t="s">
        <v>34</v>
      </c>
      <c r="V11" t="s">
        <v>35</v>
      </c>
      <c r="W11" t="s">
        <v>44</v>
      </c>
      <c r="X11" t="s">
        <v>68</v>
      </c>
      <c r="Y11" t="s">
        <v>46</v>
      </c>
      <c r="Z11" t="s">
        <v>47</v>
      </c>
      <c r="AA11">
        <v>5</v>
      </c>
      <c r="AB11">
        <v>5</v>
      </c>
      <c r="AC11">
        <v>6</v>
      </c>
      <c r="AD11" s="1">
        <v>43514</v>
      </c>
      <c r="AE11">
        <v>0</v>
      </c>
      <c r="AF11">
        <v>16</v>
      </c>
    </row>
    <row r="12" spans="1:32" x14ac:dyDescent="0.3">
      <c r="A12" t="s">
        <v>177</v>
      </c>
      <c r="B12">
        <v>5</v>
      </c>
      <c r="C12">
        <v>5</v>
      </c>
      <c r="D12">
        <v>54670</v>
      </c>
      <c r="E12" t="str">
        <f t="shared" si="0"/>
        <v>Medium</v>
      </c>
      <c r="F12">
        <v>1</v>
      </c>
      <c r="G12" t="str">
        <f t="shared" si="1"/>
        <v>Yes</v>
      </c>
      <c r="H12" t="s">
        <v>27</v>
      </c>
      <c r="I12" t="s">
        <v>28</v>
      </c>
      <c r="J12" s="1">
        <v>27041</v>
      </c>
      <c r="K12" s="2">
        <f t="shared" ca="1" si="2"/>
        <v>52</v>
      </c>
      <c r="L12" t="s">
        <v>49</v>
      </c>
      <c r="M12" t="s">
        <v>41</v>
      </c>
      <c r="N12" t="s">
        <v>31</v>
      </c>
      <c r="O12" t="s">
        <v>69</v>
      </c>
      <c r="P12" t="s">
        <v>64</v>
      </c>
      <c r="Q12" s="1">
        <v>40553</v>
      </c>
      <c r="R12" s="1">
        <v>42747</v>
      </c>
      <c r="S12" s="2">
        <f t="shared" ca="1" si="3"/>
        <v>6.0109589041095894</v>
      </c>
      <c r="T12" s="2" t="str">
        <f t="shared" ca="1" si="4"/>
        <v>6-10 Years</v>
      </c>
      <c r="U12" t="s">
        <v>70</v>
      </c>
      <c r="V12" t="s">
        <v>43</v>
      </c>
      <c r="W12" t="s">
        <v>36</v>
      </c>
      <c r="X12" t="s">
        <v>71</v>
      </c>
      <c r="Y12" t="s">
        <v>66</v>
      </c>
      <c r="Z12" t="s">
        <v>47</v>
      </c>
      <c r="AA12">
        <v>4.2</v>
      </c>
      <c r="AB12">
        <v>4</v>
      </c>
      <c r="AC12">
        <v>0</v>
      </c>
      <c r="AD12" s="1">
        <v>42399</v>
      </c>
      <c r="AE12">
        <v>0</v>
      </c>
      <c r="AF12">
        <v>12</v>
      </c>
    </row>
    <row r="13" spans="1:32" x14ac:dyDescent="0.3">
      <c r="A13" t="s">
        <v>178</v>
      </c>
      <c r="B13">
        <v>5</v>
      </c>
      <c r="C13">
        <v>5</v>
      </c>
      <c r="D13">
        <v>47211</v>
      </c>
      <c r="E13" t="str">
        <f t="shared" si="0"/>
        <v>Medium</v>
      </c>
      <c r="F13">
        <v>1</v>
      </c>
      <c r="G13" t="str">
        <f t="shared" si="1"/>
        <v>Yes</v>
      </c>
      <c r="H13" t="s">
        <v>27</v>
      </c>
      <c r="I13" t="s">
        <v>28</v>
      </c>
      <c r="J13" s="1">
        <v>27081</v>
      </c>
      <c r="K13" s="2">
        <f t="shared" ca="1" si="2"/>
        <v>52</v>
      </c>
      <c r="L13" t="s">
        <v>29</v>
      </c>
      <c r="M13" t="s">
        <v>41</v>
      </c>
      <c r="N13" t="s">
        <v>31</v>
      </c>
      <c r="O13" t="s">
        <v>69</v>
      </c>
      <c r="P13" t="s">
        <v>64</v>
      </c>
      <c r="Q13" s="1">
        <v>41001</v>
      </c>
      <c r="R13" s="1">
        <v>42632</v>
      </c>
      <c r="S13" s="2">
        <f t="shared" ca="1" si="3"/>
        <v>4.4684931506849317</v>
      </c>
      <c r="T13" s="2" t="str">
        <f t="shared" ca="1" si="4"/>
        <v>3-5 Years</v>
      </c>
      <c r="U13" t="s">
        <v>72</v>
      </c>
      <c r="V13" t="s">
        <v>43</v>
      </c>
      <c r="W13" t="s">
        <v>36</v>
      </c>
      <c r="X13" t="s">
        <v>51</v>
      </c>
      <c r="Y13" t="s">
        <v>66</v>
      </c>
      <c r="Z13" t="s">
        <v>47</v>
      </c>
      <c r="AA13">
        <v>4.2</v>
      </c>
      <c r="AB13">
        <v>3</v>
      </c>
      <c r="AC13">
        <v>0</v>
      </c>
      <c r="AD13" s="1">
        <v>42496</v>
      </c>
      <c r="AE13">
        <v>0</v>
      </c>
      <c r="AF13">
        <v>15</v>
      </c>
    </row>
    <row r="14" spans="1:32" x14ac:dyDescent="0.3">
      <c r="A14" t="s">
        <v>179</v>
      </c>
      <c r="B14">
        <v>1</v>
      </c>
      <c r="C14">
        <v>3</v>
      </c>
      <c r="D14">
        <v>92328</v>
      </c>
      <c r="E14" t="str">
        <f t="shared" si="0"/>
        <v>High</v>
      </c>
      <c r="F14">
        <v>0</v>
      </c>
      <c r="G14" t="str">
        <f t="shared" si="1"/>
        <v>No</v>
      </c>
      <c r="H14" t="s">
        <v>73</v>
      </c>
      <c r="I14" t="s">
        <v>74</v>
      </c>
      <c r="J14" s="1">
        <v>32328</v>
      </c>
      <c r="K14" s="2">
        <f t="shared" ca="1" si="2"/>
        <v>38</v>
      </c>
      <c r="L14" t="s">
        <v>29</v>
      </c>
      <c r="M14" t="s">
        <v>53</v>
      </c>
      <c r="N14" t="s">
        <v>31</v>
      </c>
      <c r="O14" t="s">
        <v>32</v>
      </c>
      <c r="P14" t="s">
        <v>64</v>
      </c>
      <c r="Q14" s="1">
        <v>41953</v>
      </c>
      <c r="S14" s="2">
        <f t="shared" ca="1" si="3"/>
        <v>11.4</v>
      </c>
      <c r="T14" s="2" t="str">
        <f t="shared" ca="1" si="4"/>
        <v>10+ Years</v>
      </c>
      <c r="U14" t="s">
        <v>34</v>
      </c>
      <c r="V14" t="s">
        <v>35</v>
      </c>
      <c r="W14" t="s">
        <v>44</v>
      </c>
      <c r="X14" t="s">
        <v>45</v>
      </c>
      <c r="Y14" t="s">
        <v>66</v>
      </c>
      <c r="Z14" t="s">
        <v>39</v>
      </c>
      <c r="AA14">
        <v>4.28</v>
      </c>
      <c r="AB14">
        <v>4</v>
      </c>
      <c r="AC14">
        <v>5</v>
      </c>
      <c r="AD14" s="1">
        <v>43521</v>
      </c>
      <c r="AE14">
        <v>0</v>
      </c>
      <c r="AF14">
        <v>9</v>
      </c>
    </row>
    <row r="15" spans="1:32" x14ac:dyDescent="0.3">
      <c r="A15" t="s">
        <v>180</v>
      </c>
      <c r="B15">
        <v>1</v>
      </c>
      <c r="C15">
        <v>5</v>
      </c>
      <c r="D15">
        <v>58709</v>
      </c>
      <c r="E15" t="str">
        <f t="shared" si="0"/>
        <v>Medium</v>
      </c>
      <c r="F15">
        <v>0</v>
      </c>
      <c r="G15" t="str">
        <f t="shared" si="1"/>
        <v>No</v>
      </c>
      <c r="H15" t="s">
        <v>27</v>
      </c>
      <c r="I15" t="s">
        <v>28</v>
      </c>
      <c r="J15" s="1">
        <v>30517</v>
      </c>
      <c r="K15" s="2">
        <f t="shared" ca="1" si="2"/>
        <v>43</v>
      </c>
      <c r="L15" t="s">
        <v>29</v>
      </c>
      <c r="M15" t="s">
        <v>30</v>
      </c>
      <c r="N15" t="s">
        <v>31</v>
      </c>
      <c r="O15" t="s">
        <v>32</v>
      </c>
      <c r="P15" t="s">
        <v>75</v>
      </c>
      <c r="Q15" s="1">
        <v>40959</v>
      </c>
      <c r="S15" s="2">
        <f t="shared" ca="1" si="3"/>
        <v>14.123287671232877</v>
      </c>
      <c r="T15" s="2" t="str">
        <f t="shared" ca="1" si="4"/>
        <v>10+ Years</v>
      </c>
      <c r="U15" t="s">
        <v>34</v>
      </c>
      <c r="V15" t="s">
        <v>35</v>
      </c>
      <c r="W15" t="s">
        <v>36</v>
      </c>
      <c r="X15" t="s">
        <v>76</v>
      </c>
      <c r="Y15" t="s">
        <v>56</v>
      </c>
      <c r="Z15" t="s">
        <v>47</v>
      </c>
      <c r="AA15">
        <v>4.5999999999999996</v>
      </c>
      <c r="AB15">
        <v>4</v>
      </c>
      <c r="AC15">
        <v>0</v>
      </c>
      <c r="AD15" s="1">
        <v>43510</v>
      </c>
      <c r="AE15">
        <v>0</v>
      </c>
      <c r="AF15">
        <v>7</v>
      </c>
    </row>
    <row r="16" spans="1:32" x14ac:dyDescent="0.3">
      <c r="A16" t="s">
        <v>181</v>
      </c>
      <c r="B16">
        <v>5</v>
      </c>
      <c r="C16">
        <v>5</v>
      </c>
      <c r="D16">
        <v>52505</v>
      </c>
      <c r="E16" t="str">
        <f t="shared" si="0"/>
        <v>Medium</v>
      </c>
      <c r="F16">
        <v>1</v>
      </c>
      <c r="G16" t="str">
        <f t="shared" si="1"/>
        <v>Yes</v>
      </c>
      <c r="H16" t="s">
        <v>27</v>
      </c>
      <c r="I16" t="s">
        <v>28</v>
      </c>
      <c r="J16" s="1">
        <v>28321</v>
      </c>
      <c r="K16" s="2">
        <f t="shared" ca="1" si="2"/>
        <v>49</v>
      </c>
      <c r="L16" t="s">
        <v>29</v>
      </c>
      <c r="M16" t="s">
        <v>53</v>
      </c>
      <c r="N16" t="s">
        <v>31</v>
      </c>
      <c r="O16" t="s">
        <v>32</v>
      </c>
      <c r="P16" t="s">
        <v>33</v>
      </c>
      <c r="Q16" s="1">
        <v>41176</v>
      </c>
      <c r="R16" s="1">
        <v>42831</v>
      </c>
      <c r="S16" s="2">
        <f t="shared" ca="1" si="3"/>
        <v>4.5342465753424657</v>
      </c>
      <c r="T16" s="2" t="str">
        <f t="shared" ca="1" si="4"/>
        <v>3-5 Years</v>
      </c>
      <c r="U16" t="s">
        <v>70</v>
      </c>
      <c r="V16" t="s">
        <v>43</v>
      </c>
      <c r="W16" t="s">
        <v>36</v>
      </c>
      <c r="X16" t="s">
        <v>37</v>
      </c>
      <c r="Y16" t="s">
        <v>77</v>
      </c>
      <c r="Z16" t="s">
        <v>47</v>
      </c>
      <c r="AA16">
        <v>5</v>
      </c>
      <c r="AB16">
        <v>5</v>
      </c>
      <c r="AC16">
        <v>0</v>
      </c>
      <c r="AD16" s="1">
        <v>42796</v>
      </c>
      <c r="AE16">
        <v>0</v>
      </c>
      <c r="AF16">
        <v>1</v>
      </c>
    </row>
    <row r="17" spans="1:32" x14ac:dyDescent="0.3">
      <c r="A17" t="s">
        <v>182</v>
      </c>
      <c r="B17">
        <v>4</v>
      </c>
      <c r="C17">
        <v>5</v>
      </c>
      <c r="D17">
        <v>57834</v>
      </c>
      <c r="E17" t="str">
        <f t="shared" si="0"/>
        <v>Medium</v>
      </c>
      <c r="F17">
        <v>1</v>
      </c>
      <c r="G17" t="str">
        <f t="shared" si="1"/>
        <v>Yes</v>
      </c>
      <c r="H17" t="s">
        <v>27</v>
      </c>
      <c r="I17" t="s">
        <v>28</v>
      </c>
      <c r="J17" s="1">
        <v>29877</v>
      </c>
      <c r="K17" s="2">
        <f t="shared" ca="1" si="2"/>
        <v>45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s="1">
        <v>40595</v>
      </c>
      <c r="R17" s="1">
        <v>42951</v>
      </c>
      <c r="S17" s="2">
        <f t="shared" ca="1" si="3"/>
        <v>6.4547945205479449</v>
      </c>
      <c r="T17" s="2" t="str">
        <f t="shared" ca="1" si="4"/>
        <v>6-10 Years</v>
      </c>
      <c r="U17" t="s">
        <v>78</v>
      </c>
      <c r="V17" t="s">
        <v>79</v>
      </c>
      <c r="W17" t="s">
        <v>36</v>
      </c>
      <c r="X17" t="s">
        <v>76</v>
      </c>
      <c r="Y17" t="s">
        <v>56</v>
      </c>
      <c r="Z17" t="s">
        <v>47</v>
      </c>
      <c r="AA17">
        <v>5</v>
      </c>
      <c r="AB17">
        <v>4</v>
      </c>
      <c r="AC17">
        <v>0</v>
      </c>
      <c r="AD17" s="1">
        <v>42830</v>
      </c>
      <c r="AE17">
        <v>0</v>
      </c>
      <c r="AF17">
        <v>20</v>
      </c>
    </row>
    <row r="18" spans="1:32" x14ac:dyDescent="0.3">
      <c r="A18" t="s">
        <v>183</v>
      </c>
      <c r="B18">
        <v>2</v>
      </c>
      <c r="C18">
        <v>5</v>
      </c>
      <c r="D18">
        <v>70131</v>
      </c>
      <c r="E18" t="str">
        <f t="shared" si="0"/>
        <v>High</v>
      </c>
      <c r="F18">
        <v>0</v>
      </c>
      <c r="G18" t="str">
        <f t="shared" si="1"/>
        <v>No</v>
      </c>
      <c r="H18" t="s">
        <v>48</v>
      </c>
      <c r="I18" t="s">
        <v>28</v>
      </c>
      <c r="J18" s="1">
        <v>24214</v>
      </c>
      <c r="K18" s="2">
        <f t="shared" ca="1" si="2"/>
        <v>60</v>
      </c>
      <c r="L18" t="s">
        <v>49</v>
      </c>
      <c r="M18" t="s">
        <v>41</v>
      </c>
      <c r="N18" t="s">
        <v>31</v>
      </c>
      <c r="O18" t="s">
        <v>32</v>
      </c>
      <c r="P18" t="s">
        <v>33</v>
      </c>
      <c r="Q18" s="1">
        <v>42572</v>
      </c>
      <c r="S18" s="2">
        <f t="shared" ca="1" si="3"/>
        <v>9.7041095890410958</v>
      </c>
      <c r="T18" s="2" t="str">
        <f t="shared" ca="1" si="4"/>
        <v>6-10 Years</v>
      </c>
      <c r="U18" t="s">
        <v>34</v>
      </c>
      <c r="V18" t="s">
        <v>35</v>
      </c>
      <c r="W18" t="s">
        <v>36</v>
      </c>
      <c r="X18" t="s">
        <v>76</v>
      </c>
      <c r="Y18" t="s">
        <v>63</v>
      </c>
      <c r="Z18" t="s">
        <v>39</v>
      </c>
      <c r="AA18">
        <v>4.4000000000000004</v>
      </c>
      <c r="AB18">
        <v>3</v>
      </c>
      <c r="AC18">
        <v>0</v>
      </c>
      <c r="AD18" s="1">
        <v>43479</v>
      </c>
      <c r="AE18">
        <v>0</v>
      </c>
      <c r="AF18">
        <v>16</v>
      </c>
    </row>
    <row r="19" spans="1:32" x14ac:dyDescent="0.3">
      <c r="A19" t="s">
        <v>184</v>
      </c>
      <c r="B19">
        <v>1</v>
      </c>
      <c r="C19">
        <v>5</v>
      </c>
      <c r="D19">
        <v>59026</v>
      </c>
      <c r="E19" t="str">
        <f t="shared" si="0"/>
        <v>Medium</v>
      </c>
      <c r="F19">
        <v>0</v>
      </c>
      <c r="G19" t="str">
        <f t="shared" si="1"/>
        <v>No</v>
      </c>
      <c r="H19" t="s">
        <v>27</v>
      </c>
      <c r="I19" t="s">
        <v>28</v>
      </c>
      <c r="J19" s="1">
        <v>25868</v>
      </c>
      <c r="K19" s="2">
        <f t="shared" ca="1" si="2"/>
        <v>56</v>
      </c>
      <c r="L19" t="s">
        <v>49</v>
      </c>
      <c r="M19" t="s">
        <v>30</v>
      </c>
      <c r="N19" t="s">
        <v>80</v>
      </c>
      <c r="O19" t="s">
        <v>32</v>
      </c>
      <c r="P19" t="s">
        <v>33</v>
      </c>
      <c r="Q19" s="1">
        <v>40637</v>
      </c>
      <c r="S19" s="2">
        <f t="shared" ca="1" si="3"/>
        <v>15.005479452054795</v>
      </c>
      <c r="T19" s="2" t="str">
        <f t="shared" ca="1" si="4"/>
        <v>10+ Years</v>
      </c>
      <c r="U19" t="s">
        <v>34</v>
      </c>
      <c r="V19" t="s">
        <v>35</v>
      </c>
      <c r="W19" t="s">
        <v>36</v>
      </c>
      <c r="X19" t="s">
        <v>52</v>
      </c>
      <c r="Y19" t="s">
        <v>56</v>
      </c>
      <c r="Z19" t="s">
        <v>47</v>
      </c>
      <c r="AA19">
        <v>5</v>
      </c>
      <c r="AB19">
        <v>5</v>
      </c>
      <c r="AC19">
        <v>0</v>
      </c>
      <c r="AD19" s="1">
        <v>43479</v>
      </c>
      <c r="AE19">
        <v>0</v>
      </c>
      <c r="AF19">
        <v>12</v>
      </c>
    </row>
    <row r="20" spans="1:32" x14ac:dyDescent="0.3">
      <c r="A20" t="s">
        <v>185</v>
      </c>
      <c r="B20">
        <v>4</v>
      </c>
      <c r="C20">
        <v>3</v>
      </c>
      <c r="D20">
        <v>110000</v>
      </c>
      <c r="E20" t="str">
        <f t="shared" si="0"/>
        <v>High</v>
      </c>
      <c r="F20">
        <v>1</v>
      </c>
      <c r="G20" t="str">
        <f t="shared" si="1"/>
        <v>Yes</v>
      </c>
      <c r="H20" t="s">
        <v>81</v>
      </c>
      <c r="I20" t="s">
        <v>28</v>
      </c>
      <c r="J20" s="1">
        <v>31506</v>
      </c>
      <c r="K20" s="2">
        <f t="shared" ca="1" si="2"/>
        <v>40</v>
      </c>
      <c r="L20" t="s">
        <v>49</v>
      </c>
      <c r="M20" t="s">
        <v>30</v>
      </c>
      <c r="N20" t="s">
        <v>31</v>
      </c>
      <c r="O20" t="s">
        <v>69</v>
      </c>
      <c r="P20" t="s">
        <v>33</v>
      </c>
      <c r="Q20" s="1">
        <v>41827</v>
      </c>
      <c r="R20" s="1">
        <v>42259</v>
      </c>
      <c r="S20" s="2">
        <f t="shared" ca="1" si="3"/>
        <v>1.1835616438356165</v>
      </c>
      <c r="T20" s="2" t="str">
        <f t="shared" ca="1" si="4"/>
        <v>0-2 Years</v>
      </c>
      <c r="U20" t="s">
        <v>82</v>
      </c>
      <c r="V20" t="s">
        <v>79</v>
      </c>
      <c r="W20" t="s">
        <v>44</v>
      </c>
      <c r="X20" t="s">
        <v>45</v>
      </c>
      <c r="Y20" t="s">
        <v>56</v>
      </c>
      <c r="Z20" t="s">
        <v>47</v>
      </c>
      <c r="AA20">
        <v>4.5</v>
      </c>
      <c r="AB20">
        <v>4</v>
      </c>
      <c r="AC20">
        <v>5</v>
      </c>
      <c r="AD20" s="1">
        <v>42019</v>
      </c>
      <c r="AE20">
        <v>0</v>
      </c>
      <c r="AF20">
        <v>8</v>
      </c>
    </row>
    <row r="21" spans="1:32" x14ac:dyDescent="0.3">
      <c r="A21" t="s">
        <v>186</v>
      </c>
      <c r="B21">
        <v>3</v>
      </c>
      <c r="C21">
        <v>5</v>
      </c>
      <c r="D21">
        <v>53250</v>
      </c>
      <c r="E21" t="str">
        <f t="shared" si="0"/>
        <v>Medium</v>
      </c>
      <c r="F21">
        <v>0</v>
      </c>
      <c r="G21" t="str">
        <f t="shared" si="1"/>
        <v>No</v>
      </c>
      <c r="H21" t="s">
        <v>27</v>
      </c>
      <c r="I21" t="s">
        <v>28</v>
      </c>
      <c r="J21" s="1">
        <v>28951</v>
      </c>
      <c r="K21" s="2">
        <f t="shared" ca="1" si="2"/>
        <v>47</v>
      </c>
      <c r="L21" t="s">
        <v>29</v>
      </c>
      <c r="M21" t="s">
        <v>30</v>
      </c>
      <c r="N21" t="s">
        <v>31</v>
      </c>
      <c r="O21" t="s">
        <v>32</v>
      </c>
      <c r="P21" t="s">
        <v>83</v>
      </c>
      <c r="Q21" s="1">
        <v>41463</v>
      </c>
      <c r="S21" s="2">
        <f t="shared" ca="1" si="3"/>
        <v>12.742465753424657</v>
      </c>
      <c r="T21" s="2" t="str">
        <f t="shared" ca="1" si="4"/>
        <v>10+ Years</v>
      </c>
      <c r="U21" t="s">
        <v>34</v>
      </c>
      <c r="V21" t="s">
        <v>35</v>
      </c>
      <c r="W21" t="s">
        <v>36</v>
      </c>
      <c r="X21" t="s">
        <v>55</v>
      </c>
      <c r="Y21" t="s">
        <v>38</v>
      </c>
      <c r="Z21" t="s">
        <v>47</v>
      </c>
      <c r="AA21">
        <v>4.2</v>
      </c>
      <c r="AB21">
        <v>4</v>
      </c>
      <c r="AC21">
        <v>0</v>
      </c>
      <c r="AD21" s="1">
        <v>43476</v>
      </c>
      <c r="AE21">
        <v>0</v>
      </c>
      <c r="AF21">
        <v>13</v>
      </c>
    </row>
    <row r="22" spans="1:32" x14ac:dyDescent="0.3">
      <c r="A22" t="s">
        <v>187</v>
      </c>
      <c r="B22">
        <v>1</v>
      </c>
      <c r="C22">
        <v>5</v>
      </c>
      <c r="D22">
        <v>51044</v>
      </c>
      <c r="E22" t="str">
        <f t="shared" si="0"/>
        <v>Medium</v>
      </c>
      <c r="F22">
        <v>0</v>
      </c>
      <c r="G22" t="str">
        <f t="shared" si="1"/>
        <v>No</v>
      </c>
      <c r="H22" t="s">
        <v>27</v>
      </c>
      <c r="I22" t="s">
        <v>28</v>
      </c>
      <c r="J22" s="1">
        <v>25924</v>
      </c>
      <c r="K22" s="2">
        <f t="shared" ca="1" si="2"/>
        <v>56</v>
      </c>
      <c r="L22" t="s">
        <v>29</v>
      </c>
      <c r="M22" t="s">
        <v>30</v>
      </c>
      <c r="N22" t="s">
        <v>31</v>
      </c>
      <c r="O22" t="s">
        <v>69</v>
      </c>
      <c r="P22" t="s">
        <v>33</v>
      </c>
      <c r="Q22" s="1">
        <v>41001</v>
      </c>
      <c r="S22" s="2">
        <f t="shared" ca="1" si="3"/>
        <v>14.008219178082191</v>
      </c>
      <c r="T22" s="2" t="str">
        <f t="shared" ca="1" si="4"/>
        <v>10+ Years</v>
      </c>
      <c r="U22" t="s">
        <v>34</v>
      </c>
      <c r="V22" t="s">
        <v>35</v>
      </c>
      <c r="W22" t="s">
        <v>36</v>
      </c>
      <c r="X22" t="s">
        <v>57</v>
      </c>
      <c r="Y22" t="s">
        <v>56</v>
      </c>
      <c r="Z22" t="s">
        <v>47</v>
      </c>
      <c r="AA22">
        <v>5</v>
      </c>
      <c r="AB22">
        <v>3</v>
      </c>
      <c r="AC22">
        <v>0</v>
      </c>
      <c r="AD22" s="1">
        <v>43479</v>
      </c>
      <c r="AE22">
        <v>0</v>
      </c>
      <c r="AF22">
        <v>13</v>
      </c>
    </row>
    <row r="23" spans="1:32" x14ac:dyDescent="0.3">
      <c r="A23" t="s">
        <v>188</v>
      </c>
      <c r="B23">
        <v>1</v>
      </c>
      <c r="C23">
        <v>5</v>
      </c>
      <c r="D23">
        <v>64919</v>
      </c>
      <c r="E23" t="str">
        <f t="shared" si="0"/>
        <v>High</v>
      </c>
      <c r="F23">
        <v>0</v>
      </c>
      <c r="G23" t="str">
        <f t="shared" si="1"/>
        <v>No</v>
      </c>
      <c r="H23" t="s">
        <v>27</v>
      </c>
      <c r="I23" t="s">
        <v>28</v>
      </c>
      <c r="J23" s="1">
        <v>21546</v>
      </c>
      <c r="K23" s="2">
        <f t="shared" ca="1" si="2"/>
        <v>68</v>
      </c>
      <c r="L23" t="s">
        <v>49</v>
      </c>
      <c r="M23" t="s">
        <v>53</v>
      </c>
      <c r="N23" t="s">
        <v>31</v>
      </c>
      <c r="O23" t="s">
        <v>32</v>
      </c>
      <c r="P23" t="s">
        <v>83</v>
      </c>
      <c r="Q23" s="1">
        <v>41505</v>
      </c>
      <c r="S23" s="2">
        <f t="shared" ca="1" si="3"/>
        <v>12.627397260273973</v>
      </c>
      <c r="T23" s="2" t="str">
        <f t="shared" ca="1" si="4"/>
        <v>10+ Years</v>
      </c>
      <c r="U23" t="s">
        <v>34</v>
      </c>
      <c r="V23" t="s">
        <v>35</v>
      </c>
      <c r="W23" t="s">
        <v>36</v>
      </c>
      <c r="X23" t="s">
        <v>62</v>
      </c>
      <c r="Y23" t="s">
        <v>46</v>
      </c>
      <c r="Z23" t="s">
        <v>47</v>
      </c>
      <c r="AA23">
        <v>4.2</v>
      </c>
      <c r="AB23">
        <v>3</v>
      </c>
      <c r="AC23">
        <v>0</v>
      </c>
      <c r="AD23" s="1">
        <v>43475</v>
      </c>
      <c r="AE23">
        <v>0</v>
      </c>
      <c r="AF23">
        <v>2</v>
      </c>
    </row>
    <row r="24" spans="1:32" x14ac:dyDescent="0.3">
      <c r="A24" t="s">
        <v>189</v>
      </c>
      <c r="B24">
        <v>1</v>
      </c>
      <c r="C24">
        <v>5</v>
      </c>
      <c r="D24">
        <v>62910</v>
      </c>
      <c r="E24" t="str">
        <f t="shared" si="0"/>
        <v>High</v>
      </c>
      <c r="F24">
        <v>0</v>
      </c>
      <c r="G24" t="str">
        <f t="shared" si="1"/>
        <v>No</v>
      </c>
      <c r="H24" t="s">
        <v>27</v>
      </c>
      <c r="I24" t="s">
        <v>28</v>
      </c>
      <c r="J24" s="1">
        <v>32752</v>
      </c>
      <c r="K24" s="2">
        <f t="shared" ca="1" si="2"/>
        <v>37</v>
      </c>
      <c r="L24" t="s">
        <v>49</v>
      </c>
      <c r="M24" t="s">
        <v>41</v>
      </c>
      <c r="N24" t="s">
        <v>31</v>
      </c>
      <c r="O24" t="s">
        <v>32</v>
      </c>
      <c r="P24" t="s">
        <v>33</v>
      </c>
      <c r="Q24" s="1">
        <v>41827</v>
      </c>
      <c r="S24" s="2">
        <f t="shared" ca="1" si="3"/>
        <v>11.745205479452055</v>
      </c>
      <c r="T24" s="2" t="str">
        <f t="shared" ca="1" si="4"/>
        <v>10+ Years</v>
      </c>
      <c r="U24" t="s">
        <v>34</v>
      </c>
      <c r="V24" t="s">
        <v>35</v>
      </c>
      <c r="W24" t="s">
        <v>36</v>
      </c>
      <c r="X24" t="s">
        <v>65</v>
      </c>
      <c r="Y24" t="s">
        <v>46</v>
      </c>
      <c r="Z24" t="s">
        <v>39</v>
      </c>
      <c r="AA24">
        <v>5</v>
      </c>
      <c r="AB24">
        <v>3</v>
      </c>
      <c r="AC24">
        <v>0</v>
      </c>
      <c r="AD24" s="1">
        <v>43523</v>
      </c>
      <c r="AE24">
        <v>0</v>
      </c>
      <c r="AF24">
        <v>19</v>
      </c>
    </row>
    <row r="25" spans="1:32" x14ac:dyDescent="0.3">
      <c r="A25" t="s">
        <v>190</v>
      </c>
      <c r="B25">
        <v>1</v>
      </c>
      <c r="C25">
        <v>5</v>
      </c>
      <c r="D25">
        <v>66441</v>
      </c>
      <c r="E25" t="str">
        <f t="shared" si="0"/>
        <v>High</v>
      </c>
      <c r="F25">
        <v>0</v>
      </c>
      <c r="G25" t="str">
        <f t="shared" si="1"/>
        <v>No</v>
      </c>
      <c r="H25" t="s">
        <v>48</v>
      </c>
      <c r="I25" t="s">
        <v>28</v>
      </c>
      <c r="J25" s="1">
        <v>33137</v>
      </c>
      <c r="K25" s="2">
        <f t="shared" ca="1" si="2"/>
        <v>36</v>
      </c>
      <c r="L25" t="s">
        <v>49</v>
      </c>
      <c r="M25" t="s">
        <v>30</v>
      </c>
      <c r="N25" t="s">
        <v>31</v>
      </c>
      <c r="O25" t="s">
        <v>32</v>
      </c>
      <c r="P25" t="s">
        <v>33</v>
      </c>
      <c r="Q25" s="1">
        <v>40637</v>
      </c>
      <c r="S25" s="2">
        <f t="shared" ca="1" si="3"/>
        <v>15.005479452054795</v>
      </c>
      <c r="T25" s="2" t="str">
        <f t="shared" ca="1" si="4"/>
        <v>10+ Years</v>
      </c>
      <c r="U25" t="s">
        <v>34</v>
      </c>
      <c r="V25" t="s">
        <v>35</v>
      </c>
      <c r="W25" t="s">
        <v>36</v>
      </c>
      <c r="X25" t="s">
        <v>37</v>
      </c>
      <c r="Y25" t="s">
        <v>84</v>
      </c>
      <c r="Z25" t="s">
        <v>85</v>
      </c>
      <c r="AA25">
        <v>2</v>
      </c>
      <c r="AB25">
        <v>3</v>
      </c>
      <c r="AC25">
        <v>0</v>
      </c>
      <c r="AD25" s="1">
        <v>43523</v>
      </c>
      <c r="AE25">
        <v>2</v>
      </c>
      <c r="AF25">
        <v>3</v>
      </c>
    </row>
    <row r="26" spans="1:32" x14ac:dyDescent="0.3">
      <c r="A26" t="s">
        <v>191</v>
      </c>
      <c r="B26">
        <v>5</v>
      </c>
      <c r="C26">
        <v>5</v>
      </c>
      <c r="D26">
        <v>57815</v>
      </c>
      <c r="E26" t="str">
        <f t="shared" si="0"/>
        <v>Medium</v>
      </c>
      <c r="F26">
        <v>1</v>
      </c>
      <c r="G26" t="str">
        <f t="shared" si="1"/>
        <v>Yes</v>
      </c>
      <c r="H26" t="s">
        <v>48</v>
      </c>
      <c r="I26" t="s">
        <v>28</v>
      </c>
      <c r="J26" s="1">
        <v>24488</v>
      </c>
      <c r="K26" s="2">
        <f t="shared" ca="1" si="2"/>
        <v>59</v>
      </c>
      <c r="L26" t="s">
        <v>49</v>
      </c>
      <c r="M26" t="s">
        <v>30</v>
      </c>
      <c r="N26" t="s">
        <v>31</v>
      </c>
      <c r="O26" t="s">
        <v>32</v>
      </c>
      <c r="P26" t="s">
        <v>33</v>
      </c>
      <c r="Q26" s="1">
        <v>40553</v>
      </c>
      <c r="R26" s="1">
        <v>41733</v>
      </c>
      <c r="S26" s="2">
        <f t="shared" ca="1" si="3"/>
        <v>3.2328767123287672</v>
      </c>
      <c r="T26" s="2" t="str">
        <f t="shared" ca="1" si="4"/>
        <v>3-5 Years</v>
      </c>
      <c r="U26" t="s">
        <v>42</v>
      </c>
      <c r="V26" t="s">
        <v>43</v>
      </c>
      <c r="W26" t="s">
        <v>36</v>
      </c>
      <c r="X26" t="s">
        <v>52</v>
      </c>
      <c r="Y26" t="s">
        <v>56</v>
      </c>
      <c r="Z26" t="s">
        <v>47</v>
      </c>
      <c r="AA26">
        <v>4.8</v>
      </c>
      <c r="AB26">
        <v>5</v>
      </c>
      <c r="AC26">
        <v>0</v>
      </c>
      <c r="AD26" s="1">
        <v>41702</v>
      </c>
      <c r="AE26">
        <v>0</v>
      </c>
      <c r="AF26">
        <v>5</v>
      </c>
    </row>
    <row r="27" spans="1:32" x14ac:dyDescent="0.3">
      <c r="A27" t="s">
        <v>192</v>
      </c>
      <c r="B27">
        <v>4</v>
      </c>
      <c r="C27">
        <v>3</v>
      </c>
      <c r="D27">
        <v>103613</v>
      </c>
      <c r="E27" t="str">
        <f t="shared" si="0"/>
        <v>High</v>
      </c>
      <c r="F27">
        <v>1</v>
      </c>
      <c r="G27" t="str">
        <f t="shared" si="1"/>
        <v>Yes</v>
      </c>
      <c r="H27" t="s">
        <v>86</v>
      </c>
      <c r="I27" t="s">
        <v>87</v>
      </c>
      <c r="J27" s="1">
        <v>23588</v>
      </c>
      <c r="K27" s="2">
        <f t="shared" ca="1" si="2"/>
        <v>62</v>
      </c>
      <c r="L27" t="s">
        <v>29</v>
      </c>
      <c r="M27" t="s">
        <v>30</v>
      </c>
      <c r="N27" t="s">
        <v>31</v>
      </c>
      <c r="O27" t="s">
        <v>32</v>
      </c>
      <c r="P27" t="s">
        <v>64</v>
      </c>
      <c r="Q27" s="1">
        <v>41687</v>
      </c>
      <c r="R27" s="1">
        <v>42419</v>
      </c>
      <c r="S27" s="2">
        <f t="shared" ca="1" si="3"/>
        <v>2.0054794520547947</v>
      </c>
      <c r="T27" s="2" t="str">
        <f t="shared" ca="1" si="4"/>
        <v>3-5 Years</v>
      </c>
      <c r="U27" t="s">
        <v>88</v>
      </c>
      <c r="V27" t="s">
        <v>79</v>
      </c>
      <c r="W27" t="s">
        <v>44</v>
      </c>
      <c r="X27" t="s">
        <v>45</v>
      </c>
      <c r="Y27" t="s">
        <v>38</v>
      </c>
      <c r="Z27" t="s">
        <v>47</v>
      </c>
      <c r="AA27">
        <v>3.5</v>
      </c>
      <c r="AB27">
        <v>5</v>
      </c>
      <c r="AC27">
        <v>7</v>
      </c>
      <c r="AD27" s="1">
        <v>42379</v>
      </c>
      <c r="AE27">
        <v>0</v>
      </c>
      <c r="AF27">
        <v>2</v>
      </c>
    </row>
    <row r="28" spans="1:32" x14ac:dyDescent="0.3">
      <c r="A28" t="s">
        <v>193</v>
      </c>
      <c r="B28">
        <v>1</v>
      </c>
      <c r="C28">
        <v>1</v>
      </c>
      <c r="D28">
        <v>106367</v>
      </c>
      <c r="E28" t="str">
        <f t="shared" si="0"/>
        <v>High</v>
      </c>
      <c r="F28">
        <v>0</v>
      </c>
      <c r="G28" t="str">
        <f t="shared" si="1"/>
        <v>No</v>
      </c>
      <c r="H28" t="s">
        <v>89</v>
      </c>
      <c r="I28" t="s">
        <v>28</v>
      </c>
      <c r="J28" s="1">
        <v>31871</v>
      </c>
      <c r="K28" s="2">
        <f t="shared" ca="1" si="2"/>
        <v>39</v>
      </c>
      <c r="L28" t="s">
        <v>49</v>
      </c>
      <c r="M28" t="s">
        <v>41</v>
      </c>
      <c r="N28" t="s">
        <v>31</v>
      </c>
      <c r="O28" t="s">
        <v>32</v>
      </c>
      <c r="P28" t="s">
        <v>64</v>
      </c>
      <c r="Q28" s="1">
        <v>42051</v>
      </c>
      <c r="S28" s="2">
        <f t="shared" ca="1" si="3"/>
        <v>11.131506849315068</v>
      </c>
      <c r="T28" s="2" t="str">
        <f t="shared" ca="1" si="4"/>
        <v>10+ Years</v>
      </c>
      <c r="U28" t="s">
        <v>34</v>
      </c>
      <c r="V28" t="s">
        <v>35</v>
      </c>
      <c r="W28" t="s">
        <v>90</v>
      </c>
      <c r="X28" t="s">
        <v>91</v>
      </c>
      <c r="Y28" t="s">
        <v>66</v>
      </c>
      <c r="Z28" t="s">
        <v>47</v>
      </c>
      <c r="AA28">
        <v>5</v>
      </c>
      <c r="AB28">
        <v>4</v>
      </c>
      <c r="AC28">
        <v>3</v>
      </c>
      <c r="AD28" s="1">
        <v>43514</v>
      </c>
      <c r="AE28">
        <v>0</v>
      </c>
      <c r="AF28">
        <v>4</v>
      </c>
    </row>
    <row r="29" spans="1:32" x14ac:dyDescent="0.3">
      <c r="A29" t="s">
        <v>194</v>
      </c>
      <c r="B29">
        <v>5</v>
      </c>
      <c r="C29">
        <v>5</v>
      </c>
      <c r="D29">
        <v>74312</v>
      </c>
      <c r="E29" t="str">
        <f t="shared" si="0"/>
        <v>High</v>
      </c>
      <c r="F29">
        <v>1</v>
      </c>
      <c r="G29" t="str">
        <f t="shared" si="1"/>
        <v>Yes</v>
      </c>
      <c r="H29" t="s">
        <v>92</v>
      </c>
      <c r="I29" t="s">
        <v>28</v>
      </c>
      <c r="J29" s="1">
        <v>25637</v>
      </c>
      <c r="K29" s="2">
        <f t="shared" ca="1" si="2"/>
        <v>56</v>
      </c>
      <c r="L29" t="s">
        <v>29</v>
      </c>
      <c r="M29" t="s">
        <v>30</v>
      </c>
      <c r="N29" t="s">
        <v>31</v>
      </c>
      <c r="O29" t="s">
        <v>32</v>
      </c>
      <c r="P29" t="s">
        <v>83</v>
      </c>
      <c r="Q29" s="1">
        <v>41547</v>
      </c>
      <c r="R29" s="1">
        <v>41858</v>
      </c>
      <c r="S29" s="2">
        <f t="shared" ca="1" si="3"/>
        <v>0.852054794520548</v>
      </c>
      <c r="T29" s="2" t="str">
        <f t="shared" ca="1" si="4"/>
        <v>0-2 Years</v>
      </c>
      <c r="U29" t="s">
        <v>93</v>
      </c>
      <c r="V29" t="s">
        <v>43</v>
      </c>
      <c r="W29" t="s">
        <v>36</v>
      </c>
      <c r="X29" t="s">
        <v>94</v>
      </c>
      <c r="Y29" t="s">
        <v>46</v>
      </c>
      <c r="Z29" t="s">
        <v>47</v>
      </c>
      <c r="AA29">
        <v>3.39</v>
      </c>
      <c r="AB29">
        <v>3</v>
      </c>
      <c r="AC29">
        <v>0</v>
      </c>
      <c r="AD29" s="1">
        <v>41690</v>
      </c>
      <c r="AE29">
        <v>0</v>
      </c>
      <c r="AF29">
        <v>14</v>
      </c>
    </row>
    <row r="30" spans="1:32" x14ac:dyDescent="0.3">
      <c r="A30" t="s">
        <v>195</v>
      </c>
      <c r="B30">
        <v>5</v>
      </c>
      <c r="C30">
        <v>5</v>
      </c>
      <c r="D30">
        <v>53492</v>
      </c>
      <c r="E30" t="str">
        <f t="shared" si="0"/>
        <v>Medium</v>
      </c>
      <c r="F30">
        <v>1</v>
      </c>
      <c r="G30" t="str">
        <f t="shared" si="1"/>
        <v>Yes</v>
      </c>
      <c r="H30" t="s">
        <v>27</v>
      </c>
      <c r="I30" t="s">
        <v>28</v>
      </c>
      <c r="J30" s="1">
        <v>33109</v>
      </c>
      <c r="K30" s="2">
        <f t="shared" ca="1" si="2"/>
        <v>36</v>
      </c>
      <c r="L30" t="s">
        <v>49</v>
      </c>
      <c r="M30" t="s">
        <v>41</v>
      </c>
      <c r="N30" t="s">
        <v>31</v>
      </c>
      <c r="O30" t="s">
        <v>32</v>
      </c>
      <c r="P30" t="s">
        <v>33</v>
      </c>
      <c r="Q30" s="1">
        <v>41001</v>
      </c>
      <c r="R30" s="1">
        <v>41440</v>
      </c>
      <c r="S30" s="2">
        <f t="shared" ca="1" si="3"/>
        <v>1.2027397260273973</v>
      </c>
      <c r="T30" s="2" t="str">
        <f t="shared" ca="1" si="4"/>
        <v>0-2 Years</v>
      </c>
      <c r="U30" t="s">
        <v>70</v>
      </c>
      <c r="V30" t="s">
        <v>43</v>
      </c>
      <c r="W30" t="s">
        <v>36</v>
      </c>
      <c r="X30" t="s">
        <v>71</v>
      </c>
      <c r="Y30" t="s">
        <v>56</v>
      </c>
      <c r="Z30" t="s">
        <v>47</v>
      </c>
      <c r="AA30">
        <v>3.35</v>
      </c>
      <c r="AB30">
        <v>4</v>
      </c>
      <c r="AC30">
        <v>0</v>
      </c>
      <c r="AD30" s="1">
        <v>41337</v>
      </c>
      <c r="AE30">
        <v>0</v>
      </c>
      <c r="AF30">
        <v>6</v>
      </c>
    </row>
    <row r="31" spans="1:32" x14ac:dyDescent="0.3">
      <c r="A31" t="s">
        <v>196</v>
      </c>
      <c r="B31">
        <v>1</v>
      </c>
      <c r="C31">
        <v>1</v>
      </c>
      <c r="D31">
        <v>63000</v>
      </c>
      <c r="E31" t="str">
        <f t="shared" si="0"/>
        <v>High</v>
      </c>
      <c r="F31">
        <v>0</v>
      </c>
      <c r="G31" t="str">
        <f t="shared" si="1"/>
        <v>No</v>
      </c>
      <c r="H31" t="s">
        <v>95</v>
      </c>
      <c r="I31" t="s">
        <v>28</v>
      </c>
      <c r="J31" s="1">
        <v>32105</v>
      </c>
      <c r="K31" s="2">
        <f t="shared" ca="1" si="2"/>
        <v>39</v>
      </c>
      <c r="L31" t="s">
        <v>49</v>
      </c>
      <c r="M31" t="s">
        <v>41</v>
      </c>
      <c r="N31" t="s">
        <v>31</v>
      </c>
      <c r="O31" t="s">
        <v>32</v>
      </c>
      <c r="P31" t="s">
        <v>64</v>
      </c>
      <c r="Q31" s="1">
        <v>39748</v>
      </c>
      <c r="S31" s="2">
        <f t="shared" ca="1" si="3"/>
        <v>17.44109589041096</v>
      </c>
      <c r="T31" s="2" t="str">
        <f t="shared" ca="1" si="4"/>
        <v>10+ Years</v>
      </c>
      <c r="U31" t="s">
        <v>34</v>
      </c>
      <c r="V31" t="s">
        <v>35</v>
      </c>
      <c r="W31" t="s">
        <v>90</v>
      </c>
      <c r="X31" t="s">
        <v>91</v>
      </c>
      <c r="Y31" t="s">
        <v>66</v>
      </c>
      <c r="Z31" t="s">
        <v>47</v>
      </c>
      <c r="AA31">
        <v>4.5</v>
      </c>
      <c r="AB31">
        <v>2</v>
      </c>
      <c r="AC31">
        <v>6</v>
      </c>
      <c r="AD31" s="1">
        <v>43480</v>
      </c>
      <c r="AE31">
        <v>0</v>
      </c>
      <c r="AF31">
        <v>14</v>
      </c>
    </row>
    <row r="32" spans="1:32" x14ac:dyDescent="0.3">
      <c r="A32" t="s">
        <v>197</v>
      </c>
      <c r="B32">
        <v>1</v>
      </c>
      <c r="C32">
        <v>5</v>
      </c>
      <c r="D32">
        <v>65288</v>
      </c>
      <c r="E32" t="str">
        <f t="shared" si="0"/>
        <v>High</v>
      </c>
      <c r="F32">
        <v>0</v>
      </c>
      <c r="G32" t="str">
        <f t="shared" si="1"/>
        <v>No</v>
      </c>
      <c r="H32" t="s">
        <v>48</v>
      </c>
      <c r="I32" t="s">
        <v>28</v>
      </c>
      <c r="J32" s="1">
        <v>30525</v>
      </c>
      <c r="K32" s="2">
        <f t="shared" ca="1" si="2"/>
        <v>43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s="1">
        <v>41911</v>
      </c>
      <c r="S32" s="2">
        <f t="shared" ca="1" si="3"/>
        <v>11.515068493150684</v>
      </c>
      <c r="T32" s="2" t="str">
        <f t="shared" ca="1" si="4"/>
        <v>10+ Years</v>
      </c>
      <c r="U32" t="s">
        <v>34</v>
      </c>
      <c r="V32" t="s">
        <v>35</v>
      </c>
      <c r="W32" t="s">
        <v>36</v>
      </c>
      <c r="X32" t="s">
        <v>55</v>
      </c>
      <c r="Y32" t="s">
        <v>56</v>
      </c>
      <c r="Z32" t="s">
        <v>47</v>
      </c>
      <c r="AA32">
        <v>3.19</v>
      </c>
      <c r="AB32">
        <v>3</v>
      </c>
      <c r="AC32">
        <v>0</v>
      </c>
      <c r="AD32" s="1">
        <v>43497</v>
      </c>
      <c r="AE32">
        <v>0</v>
      </c>
      <c r="AF32">
        <v>9</v>
      </c>
    </row>
    <row r="33" spans="1:32" x14ac:dyDescent="0.3">
      <c r="A33" t="s">
        <v>198</v>
      </c>
      <c r="B33">
        <v>3</v>
      </c>
      <c r="C33">
        <v>5</v>
      </c>
      <c r="D33">
        <v>64375</v>
      </c>
      <c r="E33" t="str">
        <f t="shared" si="0"/>
        <v>High</v>
      </c>
      <c r="F33">
        <v>0</v>
      </c>
      <c r="G33" t="str">
        <f t="shared" si="1"/>
        <v>No</v>
      </c>
      <c r="H33" t="s">
        <v>27</v>
      </c>
      <c r="I33" t="s">
        <v>28</v>
      </c>
      <c r="J33" s="1">
        <v>25506</v>
      </c>
      <c r="K33" s="2">
        <f t="shared" ca="1" si="2"/>
        <v>57</v>
      </c>
      <c r="L33" t="s">
        <v>49</v>
      </c>
      <c r="M33" t="s">
        <v>96</v>
      </c>
      <c r="N33" t="s">
        <v>31</v>
      </c>
      <c r="O33" t="s">
        <v>32</v>
      </c>
      <c r="P33" t="s">
        <v>64</v>
      </c>
      <c r="Q33" s="1">
        <v>41589</v>
      </c>
      <c r="S33" s="2">
        <f t="shared" ca="1" si="3"/>
        <v>12.397260273972602</v>
      </c>
      <c r="T33" s="2" t="str">
        <f t="shared" ca="1" si="4"/>
        <v>10+ Years</v>
      </c>
      <c r="U33" t="s">
        <v>34</v>
      </c>
      <c r="V33" t="s">
        <v>35</v>
      </c>
      <c r="W33" t="s">
        <v>36</v>
      </c>
      <c r="X33" t="s">
        <v>51</v>
      </c>
      <c r="Y33" t="s">
        <v>66</v>
      </c>
      <c r="Z33" t="s">
        <v>47</v>
      </c>
      <c r="AA33">
        <v>3.5</v>
      </c>
      <c r="AB33">
        <v>5</v>
      </c>
      <c r="AC33">
        <v>0</v>
      </c>
      <c r="AD33" s="1">
        <v>43486</v>
      </c>
      <c r="AE33">
        <v>0</v>
      </c>
      <c r="AF33">
        <v>17</v>
      </c>
    </row>
    <row r="34" spans="1:32" x14ac:dyDescent="0.3">
      <c r="A34" t="s">
        <v>199</v>
      </c>
      <c r="B34">
        <v>5</v>
      </c>
      <c r="C34">
        <v>6</v>
      </c>
      <c r="D34">
        <v>74326</v>
      </c>
      <c r="E34" t="str">
        <f t="shared" si="0"/>
        <v>High</v>
      </c>
      <c r="F34">
        <v>1</v>
      </c>
      <c r="G34" t="str">
        <f t="shared" si="1"/>
        <v>Yes</v>
      </c>
      <c r="H34" t="s">
        <v>97</v>
      </c>
      <c r="I34" t="s">
        <v>98</v>
      </c>
      <c r="J34" s="1">
        <v>23529</v>
      </c>
      <c r="K34" s="2">
        <f t="shared" ca="1" si="2"/>
        <v>62</v>
      </c>
      <c r="L34" t="s">
        <v>49</v>
      </c>
      <c r="M34" t="s">
        <v>41</v>
      </c>
      <c r="N34" t="s">
        <v>80</v>
      </c>
      <c r="O34" t="s">
        <v>32</v>
      </c>
      <c r="P34" t="s">
        <v>64</v>
      </c>
      <c r="Q34" s="1">
        <v>40770</v>
      </c>
      <c r="R34" s="1">
        <v>41853</v>
      </c>
      <c r="S34" s="2">
        <f t="shared" ca="1" si="3"/>
        <v>2.967123287671233</v>
      </c>
      <c r="T34" s="2" t="str">
        <f t="shared" ca="1" si="4"/>
        <v>3-5 Years</v>
      </c>
      <c r="U34" t="s">
        <v>70</v>
      </c>
      <c r="V34" t="s">
        <v>43</v>
      </c>
      <c r="W34" t="s">
        <v>99</v>
      </c>
      <c r="X34" t="s">
        <v>100</v>
      </c>
      <c r="Y34" t="s">
        <v>56</v>
      </c>
      <c r="Z34" t="s">
        <v>47</v>
      </c>
      <c r="AA34">
        <v>3.14</v>
      </c>
      <c r="AB34">
        <v>5</v>
      </c>
      <c r="AC34">
        <v>0</v>
      </c>
      <c r="AD34" s="1">
        <v>41315</v>
      </c>
      <c r="AE34">
        <v>1</v>
      </c>
      <c r="AF34">
        <v>19</v>
      </c>
    </row>
    <row r="35" spans="1:32" x14ac:dyDescent="0.3">
      <c r="A35" t="s">
        <v>200</v>
      </c>
      <c r="B35">
        <v>1</v>
      </c>
      <c r="C35">
        <v>5</v>
      </c>
      <c r="D35">
        <v>63763</v>
      </c>
      <c r="E35" t="str">
        <f t="shared" si="0"/>
        <v>High</v>
      </c>
      <c r="F35">
        <v>0</v>
      </c>
      <c r="G35" t="str">
        <f t="shared" si="1"/>
        <v>No</v>
      </c>
      <c r="H35" t="s">
        <v>48</v>
      </c>
      <c r="I35" t="s">
        <v>28</v>
      </c>
      <c r="J35" s="1">
        <v>29282</v>
      </c>
      <c r="K35" s="2">
        <f t="shared" ca="1" si="2"/>
        <v>46</v>
      </c>
      <c r="L35" t="s">
        <v>49</v>
      </c>
      <c r="M35" t="s">
        <v>30</v>
      </c>
      <c r="N35" t="s">
        <v>31</v>
      </c>
      <c r="O35" t="s">
        <v>32</v>
      </c>
      <c r="P35" t="s">
        <v>64</v>
      </c>
      <c r="Q35" s="1">
        <v>40973</v>
      </c>
      <c r="S35" s="2">
        <f t="shared" ca="1" si="3"/>
        <v>14.084931506849315</v>
      </c>
      <c r="T35" s="2" t="str">
        <f t="shared" ca="1" si="4"/>
        <v>10+ Years</v>
      </c>
      <c r="U35" t="s">
        <v>34</v>
      </c>
      <c r="V35" t="s">
        <v>35</v>
      </c>
      <c r="W35" t="s">
        <v>36</v>
      </c>
      <c r="X35" t="s">
        <v>57</v>
      </c>
      <c r="Y35" t="s">
        <v>63</v>
      </c>
      <c r="Z35" t="s">
        <v>47</v>
      </c>
      <c r="AA35">
        <v>4.51</v>
      </c>
      <c r="AB35">
        <v>4</v>
      </c>
      <c r="AC35">
        <v>0</v>
      </c>
      <c r="AD35" s="1">
        <v>43517</v>
      </c>
      <c r="AE35">
        <v>0</v>
      </c>
      <c r="AF35">
        <v>3</v>
      </c>
    </row>
    <row r="36" spans="1:32" x14ac:dyDescent="0.3">
      <c r="A36" t="s">
        <v>201</v>
      </c>
      <c r="B36">
        <v>1</v>
      </c>
      <c r="C36">
        <v>5</v>
      </c>
      <c r="D36">
        <v>62162</v>
      </c>
      <c r="E36" t="str">
        <f t="shared" si="0"/>
        <v>High</v>
      </c>
      <c r="F36">
        <v>0</v>
      </c>
      <c r="G36" t="str">
        <f t="shared" si="1"/>
        <v>No</v>
      </c>
      <c r="H36" t="s">
        <v>48</v>
      </c>
      <c r="I36" t="s">
        <v>28</v>
      </c>
      <c r="J36" s="1">
        <v>28356</v>
      </c>
      <c r="K36" s="2">
        <f t="shared" ca="1" si="2"/>
        <v>49</v>
      </c>
      <c r="L36" t="s">
        <v>29</v>
      </c>
      <c r="M36" t="s">
        <v>41</v>
      </c>
      <c r="N36" t="s">
        <v>31</v>
      </c>
      <c r="O36" t="s">
        <v>32</v>
      </c>
      <c r="P36" t="s">
        <v>33</v>
      </c>
      <c r="Q36" s="1">
        <v>40637</v>
      </c>
      <c r="S36" s="2">
        <f t="shared" ca="1" si="3"/>
        <v>15.005479452054795</v>
      </c>
      <c r="T36" s="2" t="str">
        <f t="shared" ca="1" si="4"/>
        <v>10+ Years</v>
      </c>
      <c r="U36" t="s">
        <v>34</v>
      </c>
      <c r="V36" t="s">
        <v>35</v>
      </c>
      <c r="W36" t="s">
        <v>36</v>
      </c>
      <c r="X36" t="s">
        <v>62</v>
      </c>
      <c r="Y36" t="s">
        <v>46</v>
      </c>
      <c r="Z36" t="s">
        <v>47</v>
      </c>
      <c r="AA36">
        <v>3.25</v>
      </c>
      <c r="AB36">
        <v>5</v>
      </c>
      <c r="AC36">
        <v>0</v>
      </c>
      <c r="AD36" s="1">
        <v>43479</v>
      </c>
      <c r="AE36">
        <v>0</v>
      </c>
      <c r="AF36">
        <v>15</v>
      </c>
    </row>
    <row r="37" spans="1:32" x14ac:dyDescent="0.3">
      <c r="A37" t="s">
        <v>202</v>
      </c>
      <c r="B37">
        <v>1</v>
      </c>
      <c r="C37">
        <v>4</v>
      </c>
      <c r="D37">
        <v>77692</v>
      </c>
      <c r="E37" t="str">
        <f t="shared" si="0"/>
        <v>High</v>
      </c>
      <c r="F37">
        <v>0</v>
      </c>
      <c r="G37" t="str">
        <f t="shared" si="1"/>
        <v>No</v>
      </c>
      <c r="H37" t="s">
        <v>101</v>
      </c>
      <c r="I37" t="s">
        <v>28</v>
      </c>
      <c r="J37" s="1">
        <v>24433</v>
      </c>
      <c r="K37" s="2">
        <f t="shared" ca="1" si="2"/>
        <v>60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 s="1">
        <v>40770</v>
      </c>
      <c r="S37" s="2">
        <f t="shared" ca="1" si="3"/>
        <v>14.641095890410959</v>
      </c>
      <c r="T37" s="2" t="str">
        <f t="shared" ca="1" si="4"/>
        <v>10+ Years</v>
      </c>
      <c r="U37" t="s">
        <v>34</v>
      </c>
      <c r="V37" t="s">
        <v>35</v>
      </c>
      <c r="W37" t="s">
        <v>59</v>
      </c>
      <c r="X37" t="s">
        <v>102</v>
      </c>
      <c r="Y37" t="s">
        <v>56</v>
      </c>
      <c r="Z37" t="s">
        <v>47</v>
      </c>
      <c r="AA37">
        <v>3.84</v>
      </c>
      <c r="AB37">
        <v>3</v>
      </c>
      <c r="AC37">
        <v>5</v>
      </c>
      <c r="AD37" s="1">
        <v>43486</v>
      </c>
      <c r="AE37">
        <v>0</v>
      </c>
      <c r="AF37">
        <v>4</v>
      </c>
    </row>
    <row r="38" spans="1:32" x14ac:dyDescent="0.3">
      <c r="A38" t="s">
        <v>203</v>
      </c>
      <c r="B38">
        <v>1</v>
      </c>
      <c r="C38">
        <v>5</v>
      </c>
      <c r="D38">
        <v>72640</v>
      </c>
      <c r="E38" t="str">
        <f t="shared" si="0"/>
        <v>High</v>
      </c>
      <c r="F38">
        <v>0</v>
      </c>
      <c r="G38" t="str">
        <f t="shared" si="1"/>
        <v>No</v>
      </c>
      <c r="H38" t="s">
        <v>92</v>
      </c>
      <c r="I38" t="s">
        <v>28</v>
      </c>
      <c r="J38" s="1">
        <v>30537</v>
      </c>
      <c r="K38" s="2">
        <f t="shared" ca="1" si="2"/>
        <v>43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 s="1">
        <v>42397</v>
      </c>
      <c r="S38" s="2">
        <f t="shared" ca="1" si="3"/>
        <v>10.183561643835617</v>
      </c>
      <c r="T38" s="2" t="str">
        <f t="shared" ca="1" si="4"/>
        <v>10+ Years</v>
      </c>
      <c r="U38" t="s">
        <v>34</v>
      </c>
      <c r="V38" t="s">
        <v>35</v>
      </c>
      <c r="W38" t="s">
        <v>36</v>
      </c>
      <c r="X38" t="s">
        <v>94</v>
      </c>
      <c r="Y38" t="s">
        <v>46</v>
      </c>
      <c r="Z38" t="s">
        <v>39</v>
      </c>
      <c r="AA38">
        <v>5</v>
      </c>
      <c r="AB38">
        <v>3</v>
      </c>
      <c r="AC38">
        <v>0</v>
      </c>
      <c r="AD38" s="1">
        <v>43518</v>
      </c>
      <c r="AE38">
        <v>0</v>
      </c>
      <c r="AF38">
        <v>14</v>
      </c>
    </row>
    <row r="39" spans="1:32" x14ac:dyDescent="0.3">
      <c r="A39" t="s">
        <v>204</v>
      </c>
      <c r="B39">
        <v>1</v>
      </c>
      <c r="C39">
        <v>4</v>
      </c>
      <c r="D39">
        <v>93396</v>
      </c>
      <c r="E39" t="str">
        <f t="shared" si="0"/>
        <v>High</v>
      </c>
      <c r="F39">
        <v>0</v>
      </c>
      <c r="G39" t="str">
        <f t="shared" si="1"/>
        <v>No</v>
      </c>
      <c r="H39" t="s">
        <v>58</v>
      </c>
      <c r="I39" t="s">
        <v>28</v>
      </c>
      <c r="J39" s="1">
        <v>31872</v>
      </c>
      <c r="K39" s="2">
        <f t="shared" ca="1" si="2"/>
        <v>39</v>
      </c>
      <c r="L39" t="s">
        <v>49</v>
      </c>
      <c r="M39" t="s">
        <v>30</v>
      </c>
      <c r="N39" t="s">
        <v>31</v>
      </c>
      <c r="O39" t="s">
        <v>32</v>
      </c>
      <c r="P39" t="s">
        <v>33</v>
      </c>
      <c r="Q39" s="1">
        <v>41589</v>
      </c>
      <c r="S39" s="2">
        <f t="shared" ca="1" si="3"/>
        <v>12.397260273972602</v>
      </c>
      <c r="T39" s="2" t="str">
        <f t="shared" ca="1" si="4"/>
        <v>10+ Years</v>
      </c>
      <c r="U39" t="s">
        <v>34</v>
      </c>
      <c r="V39" t="s">
        <v>35</v>
      </c>
      <c r="W39" t="s">
        <v>59</v>
      </c>
      <c r="X39" t="s">
        <v>60</v>
      </c>
      <c r="Y39" t="s">
        <v>46</v>
      </c>
      <c r="Z39" t="s">
        <v>47</v>
      </c>
      <c r="AA39">
        <v>4.96</v>
      </c>
      <c r="AB39">
        <v>4</v>
      </c>
      <c r="AC39">
        <v>6</v>
      </c>
      <c r="AD39" s="1">
        <v>43495</v>
      </c>
      <c r="AE39">
        <v>0</v>
      </c>
      <c r="AF39">
        <v>3</v>
      </c>
    </row>
    <row r="40" spans="1:32" x14ac:dyDescent="0.3">
      <c r="A40" t="s">
        <v>205</v>
      </c>
      <c r="B40">
        <v>1</v>
      </c>
      <c r="C40">
        <v>5</v>
      </c>
      <c r="D40">
        <v>52846</v>
      </c>
      <c r="E40" t="str">
        <f t="shared" si="0"/>
        <v>Medium</v>
      </c>
      <c r="F40">
        <v>0</v>
      </c>
      <c r="G40" t="str">
        <f t="shared" si="1"/>
        <v>No</v>
      </c>
      <c r="H40" t="s">
        <v>27</v>
      </c>
      <c r="I40" t="s">
        <v>28</v>
      </c>
      <c r="J40" s="1">
        <v>30349</v>
      </c>
      <c r="K40" s="2">
        <f t="shared" ca="1" si="2"/>
        <v>43</v>
      </c>
      <c r="L40" t="s">
        <v>29</v>
      </c>
      <c r="M40" t="s">
        <v>30</v>
      </c>
      <c r="N40" t="s">
        <v>31</v>
      </c>
      <c r="O40" t="s">
        <v>32</v>
      </c>
      <c r="P40" t="s">
        <v>64</v>
      </c>
      <c r="Q40" s="1">
        <v>41729</v>
      </c>
      <c r="S40" s="2">
        <f t="shared" ca="1" si="3"/>
        <v>12.013698630136986</v>
      </c>
      <c r="T40" s="2" t="str">
        <f t="shared" ca="1" si="4"/>
        <v>10+ Years</v>
      </c>
      <c r="U40" t="s">
        <v>34</v>
      </c>
      <c r="V40" t="s">
        <v>35</v>
      </c>
      <c r="W40" t="s">
        <v>36</v>
      </c>
      <c r="X40" t="s">
        <v>76</v>
      </c>
      <c r="Y40" t="s">
        <v>38</v>
      </c>
      <c r="Z40" t="s">
        <v>47</v>
      </c>
      <c r="AA40">
        <v>4.43</v>
      </c>
      <c r="AB40">
        <v>3</v>
      </c>
      <c r="AC40">
        <v>0</v>
      </c>
      <c r="AD40" s="1">
        <v>43497</v>
      </c>
      <c r="AE40">
        <v>0</v>
      </c>
      <c r="AF40">
        <v>14</v>
      </c>
    </row>
    <row r="41" spans="1:32" x14ac:dyDescent="0.3">
      <c r="A41" t="s">
        <v>206</v>
      </c>
      <c r="B41">
        <v>2</v>
      </c>
      <c r="C41">
        <v>3</v>
      </c>
      <c r="D41">
        <v>100031</v>
      </c>
      <c r="E41" t="str">
        <f t="shared" si="0"/>
        <v>High</v>
      </c>
      <c r="F41">
        <v>0</v>
      </c>
      <c r="G41" t="str">
        <f t="shared" si="1"/>
        <v>No</v>
      </c>
      <c r="H41" t="s">
        <v>40</v>
      </c>
      <c r="I41" t="s">
        <v>28</v>
      </c>
      <c r="J41" s="1">
        <v>31569</v>
      </c>
      <c r="K41" s="2">
        <f t="shared" ca="1" si="2"/>
        <v>40</v>
      </c>
      <c r="L41" t="s">
        <v>49</v>
      </c>
      <c r="M41" t="s">
        <v>30</v>
      </c>
      <c r="N41" t="s">
        <v>31</v>
      </c>
      <c r="O41" t="s">
        <v>32</v>
      </c>
      <c r="P41" t="s">
        <v>64</v>
      </c>
      <c r="Q41" s="1">
        <v>42551</v>
      </c>
      <c r="S41" s="2">
        <f t="shared" ca="1" si="3"/>
        <v>9.7616438356164377</v>
      </c>
      <c r="T41" s="2" t="str">
        <f t="shared" ca="1" si="4"/>
        <v>6-10 Years</v>
      </c>
      <c r="U41" t="s">
        <v>34</v>
      </c>
      <c r="V41" t="s">
        <v>35</v>
      </c>
      <c r="W41" t="s">
        <v>44</v>
      </c>
      <c r="X41" t="s">
        <v>45</v>
      </c>
      <c r="Y41" t="s">
        <v>38</v>
      </c>
      <c r="Z41" t="s">
        <v>47</v>
      </c>
      <c r="AA41">
        <v>5</v>
      </c>
      <c r="AB41">
        <v>5</v>
      </c>
      <c r="AC41">
        <v>6</v>
      </c>
      <c r="AD41" s="1">
        <v>43514</v>
      </c>
      <c r="AE41">
        <v>0</v>
      </c>
      <c r="AF41">
        <v>7</v>
      </c>
    </row>
    <row r="42" spans="1:32" x14ac:dyDescent="0.3">
      <c r="A42" t="s">
        <v>207</v>
      </c>
      <c r="B42">
        <v>1</v>
      </c>
      <c r="C42">
        <v>6</v>
      </c>
      <c r="D42">
        <v>71860</v>
      </c>
      <c r="E42" t="str">
        <f t="shared" si="0"/>
        <v>High</v>
      </c>
      <c r="F42">
        <v>0</v>
      </c>
      <c r="G42" t="str">
        <f t="shared" si="1"/>
        <v>No</v>
      </c>
      <c r="H42" t="s">
        <v>97</v>
      </c>
      <c r="I42" t="s">
        <v>103</v>
      </c>
      <c r="J42" s="1">
        <v>23146</v>
      </c>
      <c r="K42" s="2">
        <f t="shared" ca="1" si="2"/>
        <v>63</v>
      </c>
      <c r="L42" t="s">
        <v>49</v>
      </c>
      <c r="M42" t="s">
        <v>30</v>
      </c>
      <c r="N42" t="s">
        <v>31</v>
      </c>
      <c r="O42" t="s">
        <v>32</v>
      </c>
      <c r="P42" t="s">
        <v>33</v>
      </c>
      <c r="Q42" s="1">
        <v>41869</v>
      </c>
      <c r="S42" s="2">
        <f t="shared" ca="1" si="3"/>
        <v>11.63013698630137</v>
      </c>
      <c r="T42" s="2" t="str">
        <f t="shared" ca="1" si="4"/>
        <v>10+ Years</v>
      </c>
      <c r="U42" t="s">
        <v>34</v>
      </c>
      <c r="V42" t="s">
        <v>35</v>
      </c>
      <c r="W42" t="s">
        <v>99</v>
      </c>
      <c r="X42" t="s">
        <v>100</v>
      </c>
      <c r="Y42" t="s">
        <v>46</v>
      </c>
      <c r="Z42" t="s">
        <v>47</v>
      </c>
      <c r="AA42">
        <v>5</v>
      </c>
      <c r="AB42">
        <v>5</v>
      </c>
      <c r="AC42">
        <v>0</v>
      </c>
      <c r="AD42" s="1">
        <v>43486</v>
      </c>
      <c r="AE42">
        <v>0</v>
      </c>
      <c r="AF42">
        <v>7</v>
      </c>
    </row>
    <row r="43" spans="1:32" x14ac:dyDescent="0.3">
      <c r="A43" t="s">
        <v>208</v>
      </c>
      <c r="B43">
        <v>1</v>
      </c>
      <c r="C43">
        <v>5</v>
      </c>
      <c r="D43">
        <v>61656</v>
      </c>
      <c r="E43" t="str">
        <f t="shared" si="0"/>
        <v>High</v>
      </c>
      <c r="F43">
        <v>0</v>
      </c>
      <c r="G43" t="str">
        <f t="shared" si="1"/>
        <v>No</v>
      </c>
      <c r="H43" t="s">
        <v>27</v>
      </c>
      <c r="I43" t="s">
        <v>28</v>
      </c>
      <c r="J43" s="1">
        <v>18630</v>
      </c>
      <c r="K43" s="2">
        <f t="shared" ca="1" si="2"/>
        <v>75</v>
      </c>
      <c r="L43" t="s">
        <v>49</v>
      </c>
      <c r="M43" t="s">
        <v>30</v>
      </c>
      <c r="N43" t="s">
        <v>31</v>
      </c>
      <c r="O43" t="s">
        <v>32</v>
      </c>
      <c r="P43" t="s">
        <v>33</v>
      </c>
      <c r="Q43" s="1">
        <v>41911</v>
      </c>
      <c r="S43" s="2">
        <f t="shared" ca="1" si="3"/>
        <v>11.515068493150684</v>
      </c>
      <c r="T43" s="2" t="str">
        <f t="shared" ca="1" si="4"/>
        <v>10+ Years</v>
      </c>
      <c r="U43" t="s">
        <v>34</v>
      </c>
      <c r="V43" t="s">
        <v>35</v>
      </c>
      <c r="W43" t="s">
        <v>36</v>
      </c>
      <c r="X43" t="s">
        <v>37</v>
      </c>
      <c r="Y43" t="s">
        <v>56</v>
      </c>
      <c r="Z43" t="s">
        <v>47</v>
      </c>
      <c r="AA43">
        <v>5</v>
      </c>
      <c r="AB43">
        <v>4</v>
      </c>
      <c r="AC43">
        <v>0</v>
      </c>
      <c r="AD43" s="1">
        <v>43508</v>
      </c>
      <c r="AE43">
        <v>0</v>
      </c>
      <c r="AF43">
        <v>11</v>
      </c>
    </row>
    <row r="44" spans="1:32" x14ac:dyDescent="0.3">
      <c r="A44" t="s">
        <v>209</v>
      </c>
      <c r="B44">
        <v>1</v>
      </c>
      <c r="C44">
        <v>3</v>
      </c>
      <c r="D44">
        <v>110929</v>
      </c>
      <c r="E44" t="str">
        <f t="shared" si="0"/>
        <v>High</v>
      </c>
      <c r="F44">
        <v>0</v>
      </c>
      <c r="G44" t="str">
        <f t="shared" si="1"/>
        <v>No</v>
      </c>
      <c r="H44" t="s">
        <v>104</v>
      </c>
      <c r="I44" t="s">
        <v>28</v>
      </c>
      <c r="J44" s="1">
        <v>26338</v>
      </c>
      <c r="K44" s="2">
        <f t="shared" ca="1" si="2"/>
        <v>54</v>
      </c>
      <c r="L44" t="s">
        <v>29</v>
      </c>
      <c r="M44" t="s">
        <v>41</v>
      </c>
      <c r="N44" t="s">
        <v>31</v>
      </c>
      <c r="O44" t="s">
        <v>32</v>
      </c>
      <c r="P44" t="s">
        <v>33</v>
      </c>
      <c r="Q44" s="1">
        <v>42619</v>
      </c>
      <c r="S44" s="2">
        <f t="shared" ca="1" si="3"/>
        <v>9.5753424657534243</v>
      </c>
      <c r="T44" s="2" t="str">
        <f t="shared" ca="1" si="4"/>
        <v>6-10 Years</v>
      </c>
      <c r="U44" t="s">
        <v>34</v>
      </c>
      <c r="V44" t="s">
        <v>35</v>
      </c>
      <c r="W44" t="s">
        <v>44</v>
      </c>
      <c r="X44" t="s">
        <v>102</v>
      </c>
      <c r="Y44" t="s">
        <v>46</v>
      </c>
      <c r="Z44" t="s">
        <v>47</v>
      </c>
      <c r="AA44">
        <v>4.5</v>
      </c>
      <c r="AB44">
        <v>5</v>
      </c>
      <c r="AC44">
        <v>7</v>
      </c>
      <c r="AD44" s="1">
        <v>43480</v>
      </c>
      <c r="AE44">
        <v>0</v>
      </c>
      <c r="AF44">
        <v>8</v>
      </c>
    </row>
    <row r="45" spans="1:32" x14ac:dyDescent="0.3">
      <c r="A45" t="s">
        <v>210</v>
      </c>
      <c r="B45">
        <v>1</v>
      </c>
      <c r="C45">
        <v>5</v>
      </c>
      <c r="D45">
        <v>54237</v>
      </c>
      <c r="E45" t="str">
        <f t="shared" si="0"/>
        <v>Medium</v>
      </c>
      <c r="F45">
        <v>0</v>
      </c>
      <c r="G45" t="str">
        <f t="shared" si="1"/>
        <v>No</v>
      </c>
      <c r="H45" t="s">
        <v>27</v>
      </c>
      <c r="I45" t="s">
        <v>28</v>
      </c>
      <c r="J45" s="1">
        <v>28898</v>
      </c>
      <c r="K45" s="2">
        <f t="shared" ca="1" si="2"/>
        <v>47</v>
      </c>
      <c r="L45" t="s">
        <v>49</v>
      </c>
      <c r="M45" t="s">
        <v>30</v>
      </c>
      <c r="N45" t="s">
        <v>31</v>
      </c>
      <c r="O45" t="s">
        <v>32</v>
      </c>
      <c r="P45" t="s">
        <v>33</v>
      </c>
      <c r="Q45" s="1">
        <v>41771</v>
      </c>
      <c r="S45" s="2">
        <f t="shared" ca="1" si="3"/>
        <v>11.898630136986302</v>
      </c>
      <c r="T45" s="2" t="str">
        <f t="shared" ca="1" si="4"/>
        <v>10+ Years</v>
      </c>
      <c r="U45" t="s">
        <v>34</v>
      </c>
      <c r="V45" t="s">
        <v>35</v>
      </c>
      <c r="W45" t="s">
        <v>36</v>
      </c>
      <c r="X45" t="s">
        <v>52</v>
      </c>
      <c r="Y45" t="s">
        <v>46</v>
      </c>
      <c r="Z45" t="s">
        <v>47</v>
      </c>
      <c r="AA45">
        <v>3.3</v>
      </c>
      <c r="AB45">
        <v>4</v>
      </c>
      <c r="AC45">
        <v>0</v>
      </c>
      <c r="AD45" s="1">
        <v>43515</v>
      </c>
      <c r="AE45">
        <v>0</v>
      </c>
      <c r="AF45">
        <v>11</v>
      </c>
    </row>
    <row r="46" spans="1:32" x14ac:dyDescent="0.3">
      <c r="A46" t="s">
        <v>211</v>
      </c>
      <c r="B46">
        <v>1</v>
      </c>
      <c r="C46">
        <v>5</v>
      </c>
      <c r="D46">
        <v>60380</v>
      </c>
      <c r="E46" t="str">
        <f t="shared" si="0"/>
        <v>High</v>
      </c>
      <c r="F46">
        <v>0</v>
      </c>
      <c r="G46" t="str">
        <f t="shared" si="1"/>
        <v>No</v>
      </c>
      <c r="H46" t="s">
        <v>27</v>
      </c>
      <c r="I46" t="s">
        <v>28</v>
      </c>
      <c r="J46" s="1">
        <v>30552</v>
      </c>
      <c r="K46" s="2">
        <f t="shared" ca="1" si="2"/>
        <v>43</v>
      </c>
      <c r="L46" t="s">
        <v>29</v>
      </c>
      <c r="M46" t="s">
        <v>30</v>
      </c>
      <c r="N46" t="s">
        <v>31</v>
      </c>
      <c r="O46" t="s">
        <v>32</v>
      </c>
      <c r="P46" t="s">
        <v>33</v>
      </c>
      <c r="Q46" s="1">
        <v>41463</v>
      </c>
      <c r="S46" s="2">
        <f t="shared" ca="1" si="3"/>
        <v>12.742465753424657</v>
      </c>
      <c r="T46" s="2" t="str">
        <f t="shared" ca="1" si="4"/>
        <v>10+ Years</v>
      </c>
      <c r="U46" t="s">
        <v>34</v>
      </c>
      <c r="V46" t="s">
        <v>35</v>
      </c>
      <c r="W46" t="s">
        <v>36</v>
      </c>
      <c r="X46" t="s">
        <v>55</v>
      </c>
      <c r="Y46" t="s">
        <v>38</v>
      </c>
      <c r="Z46" t="s">
        <v>47</v>
      </c>
      <c r="AA46">
        <v>3.8</v>
      </c>
      <c r="AB46">
        <v>5</v>
      </c>
      <c r="AC46">
        <v>0</v>
      </c>
      <c r="AD46" s="1">
        <v>43479</v>
      </c>
      <c r="AE46">
        <v>0</v>
      </c>
      <c r="AF46">
        <v>4</v>
      </c>
    </row>
    <row r="47" spans="1:32" x14ac:dyDescent="0.3">
      <c r="A47" t="s">
        <v>212</v>
      </c>
      <c r="B47">
        <v>1</v>
      </c>
      <c r="C47">
        <v>6</v>
      </c>
      <c r="D47">
        <v>66808</v>
      </c>
      <c r="E47" t="str">
        <f t="shared" si="0"/>
        <v>High</v>
      </c>
      <c r="F47">
        <v>0</v>
      </c>
      <c r="G47" t="str">
        <f t="shared" si="1"/>
        <v>No</v>
      </c>
      <c r="H47" t="s">
        <v>97</v>
      </c>
      <c r="I47" t="s">
        <v>74</v>
      </c>
      <c r="J47" s="1">
        <v>25730</v>
      </c>
      <c r="K47" s="2">
        <f t="shared" ca="1" si="2"/>
        <v>56</v>
      </c>
      <c r="L47" t="s">
        <v>29</v>
      </c>
      <c r="M47" t="s">
        <v>30</v>
      </c>
      <c r="N47" t="s">
        <v>80</v>
      </c>
      <c r="O47" t="s">
        <v>32</v>
      </c>
      <c r="P47" t="s">
        <v>64</v>
      </c>
      <c r="Q47" s="1">
        <v>41043</v>
      </c>
      <c r="S47" s="2">
        <f t="shared" ca="1" si="3"/>
        <v>13.893150684931507</v>
      </c>
      <c r="T47" s="2" t="str">
        <f t="shared" ca="1" si="4"/>
        <v>10+ Years</v>
      </c>
      <c r="U47" t="s">
        <v>34</v>
      </c>
      <c r="V47" t="s">
        <v>35</v>
      </c>
      <c r="W47" t="s">
        <v>99</v>
      </c>
      <c r="X47" t="s">
        <v>105</v>
      </c>
      <c r="Y47" t="s">
        <v>63</v>
      </c>
      <c r="Z47" t="s">
        <v>47</v>
      </c>
      <c r="AA47">
        <v>3</v>
      </c>
      <c r="AB47">
        <v>5</v>
      </c>
      <c r="AC47">
        <v>0</v>
      </c>
      <c r="AD47" s="1">
        <v>43484</v>
      </c>
      <c r="AE47">
        <v>0</v>
      </c>
      <c r="AF47">
        <v>17</v>
      </c>
    </row>
    <row r="48" spans="1:32" x14ac:dyDescent="0.3">
      <c r="A48" t="s">
        <v>213</v>
      </c>
      <c r="B48">
        <v>5</v>
      </c>
      <c r="C48">
        <v>5</v>
      </c>
      <c r="D48">
        <v>64786</v>
      </c>
      <c r="E48" t="str">
        <f t="shared" si="0"/>
        <v>High</v>
      </c>
      <c r="F48">
        <v>1</v>
      </c>
      <c r="G48" t="str">
        <f t="shared" si="1"/>
        <v>Yes</v>
      </c>
      <c r="H48" t="s">
        <v>27</v>
      </c>
      <c r="I48" t="s">
        <v>28</v>
      </c>
      <c r="J48" s="1">
        <v>30555</v>
      </c>
      <c r="K48" s="2">
        <f t="shared" ca="1" si="2"/>
        <v>43</v>
      </c>
      <c r="L48" t="s">
        <v>49</v>
      </c>
      <c r="M48" t="s">
        <v>30</v>
      </c>
      <c r="N48" t="s">
        <v>31</v>
      </c>
      <c r="O48" t="s">
        <v>32</v>
      </c>
      <c r="P48" t="s">
        <v>33</v>
      </c>
      <c r="Q48" s="1">
        <v>40721</v>
      </c>
      <c r="R48" s="1">
        <v>42323</v>
      </c>
      <c r="S48" s="2">
        <f t="shared" ca="1" si="3"/>
        <v>4.3890410958904109</v>
      </c>
      <c r="T48" s="2" t="str">
        <f t="shared" ca="1" si="4"/>
        <v>3-5 Years</v>
      </c>
      <c r="U48" t="s">
        <v>106</v>
      </c>
      <c r="V48" t="s">
        <v>43</v>
      </c>
      <c r="W48" t="s">
        <v>36</v>
      </c>
      <c r="X48" t="s">
        <v>57</v>
      </c>
      <c r="Y48" t="s">
        <v>46</v>
      </c>
      <c r="Z48" t="s">
        <v>47</v>
      </c>
      <c r="AA48">
        <v>4.3</v>
      </c>
      <c r="AB48">
        <v>4</v>
      </c>
      <c r="AC48">
        <v>0</v>
      </c>
      <c r="AD48" s="1">
        <v>42073</v>
      </c>
      <c r="AE48">
        <v>0</v>
      </c>
      <c r="AF48">
        <v>3</v>
      </c>
    </row>
    <row r="49" spans="1:32" x14ac:dyDescent="0.3">
      <c r="A49" t="s">
        <v>214</v>
      </c>
      <c r="B49">
        <v>1</v>
      </c>
      <c r="C49">
        <v>5</v>
      </c>
      <c r="D49">
        <v>64816</v>
      </c>
      <c r="E49" t="str">
        <f t="shared" si="0"/>
        <v>High</v>
      </c>
      <c r="F49">
        <v>0</v>
      </c>
      <c r="G49" t="str">
        <f t="shared" si="1"/>
        <v>No</v>
      </c>
      <c r="H49" t="s">
        <v>27</v>
      </c>
      <c r="I49" t="s">
        <v>28</v>
      </c>
      <c r="J49" s="1">
        <v>32294</v>
      </c>
      <c r="K49" s="2">
        <f t="shared" ca="1" si="2"/>
        <v>38</v>
      </c>
      <c r="L49" t="s">
        <v>49</v>
      </c>
      <c r="M49" t="s">
        <v>30</v>
      </c>
      <c r="N49" t="s">
        <v>107</v>
      </c>
      <c r="O49" t="s">
        <v>32</v>
      </c>
      <c r="P49" t="s">
        <v>64</v>
      </c>
      <c r="Q49" s="1">
        <v>40819</v>
      </c>
      <c r="S49" s="2">
        <f t="shared" ca="1" si="3"/>
        <v>14.506849315068493</v>
      </c>
      <c r="T49" s="2" t="str">
        <f t="shared" ca="1" si="4"/>
        <v>10+ Years</v>
      </c>
      <c r="U49" t="s">
        <v>34</v>
      </c>
      <c r="V49" t="s">
        <v>35</v>
      </c>
      <c r="W49" t="s">
        <v>36</v>
      </c>
      <c r="X49" t="s">
        <v>62</v>
      </c>
      <c r="Y49" t="s">
        <v>46</v>
      </c>
      <c r="Z49" t="s">
        <v>47</v>
      </c>
      <c r="AA49">
        <v>3.58</v>
      </c>
      <c r="AB49">
        <v>5</v>
      </c>
      <c r="AC49">
        <v>0</v>
      </c>
      <c r="AD49" s="1">
        <v>43495</v>
      </c>
      <c r="AE49">
        <v>0</v>
      </c>
      <c r="AF49">
        <v>3</v>
      </c>
    </row>
    <row r="50" spans="1:32" x14ac:dyDescent="0.3">
      <c r="A50" t="s">
        <v>215</v>
      </c>
      <c r="B50">
        <v>1</v>
      </c>
      <c r="C50">
        <v>3</v>
      </c>
      <c r="D50">
        <v>68678</v>
      </c>
      <c r="E50" t="str">
        <f t="shared" si="0"/>
        <v>High</v>
      </c>
      <c r="F50">
        <v>0</v>
      </c>
      <c r="G50" t="str">
        <f t="shared" si="1"/>
        <v>No</v>
      </c>
      <c r="H50" t="s">
        <v>67</v>
      </c>
      <c r="I50" t="s">
        <v>28</v>
      </c>
      <c r="J50" s="1">
        <v>31295</v>
      </c>
      <c r="K50" s="2">
        <f t="shared" ca="1" si="2"/>
        <v>41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 s="1">
        <v>41157</v>
      </c>
      <c r="S50" s="2">
        <f t="shared" ca="1" si="3"/>
        <v>13.580821917808219</v>
      </c>
      <c r="T50" s="2" t="str">
        <f t="shared" ca="1" si="4"/>
        <v>10+ Years</v>
      </c>
      <c r="U50" t="s">
        <v>34</v>
      </c>
      <c r="V50" t="s">
        <v>35</v>
      </c>
      <c r="W50" t="s">
        <v>44</v>
      </c>
      <c r="X50" t="s">
        <v>108</v>
      </c>
      <c r="Y50" t="s">
        <v>46</v>
      </c>
      <c r="Z50" t="s">
        <v>47</v>
      </c>
      <c r="AA50">
        <v>4.7</v>
      </c>
      <c r="AB50">
        <v>3</v>
      </c>
      <c r="AC50">
        <v>6</v>
      </c>
      <c r="AD50" s="1">
        <v>43523</v>
      </c>
      <c r="AE50">
        <v>0</v>
      </c>
      <c r="AF50">
        <v>2</v>
      </c>
    </row>
    <row r="51" spans="1:32" x14ac:dyDescent="0.3">
      <c r="A51" t="s">
        <v>216</v>
      </c>
      <c r="B51">
        <v>5</v>
      </c>
      <c r="C51">
        <v>5</v>
      </c>
      <c r="D51">
        <v>64066</v>
      </c>
      <c r="E51" t="str">
        <f t="shared" si="0"/>
        <v>High</v>
      </c>
      <c r="F51">
        <v>1</v>
      </c>
      <c r="G51" t="str">
        <f t="shared" si="1"/>
        <v>Yes</v>
      </c>
      <c r="H51" t="s">
        <v>48</v>
      </c>
      <c r="I51" t="s">
        <v>28</v>
      </c>
      <c r="J51" s="1">
        <v>29829</v>
      </c>
      <c r="K51" s="2">
        <f t="shared" ca="1" si="2"/>
        <v>45</v>
      </c>
      <c r="L51" t="s">
        <v>49</v>
      </c>
      <c r="M51" t="s">
        <v>41</v>
      </c>
      <c r="N51" t="s">
        <v>31</v>
      </c>
      <c r="O51" t="s">
        <v>32</v>
      </c>
      <c r="P51" t="s">
        <v>33</v>
      </c>
      <c r="Q51" s="1">
        <v>40679</v>
      </c>
      <c r="R51" s="1">
        <v>41281</v>
      </c>
      <c r="S51" s="2">
        <f t="shared" ca="1" si="3"/>
        <v>1.6493150684931508</v>
      </c>
      <c r="T51" s="2" t="str">
        <f t="shared" ca="1" si="4"/>
        <v>0-2 Years</v>
      </c>
      <c r="U51" t="s">
        <v>72</v>
      </c>
      <c r="V51" t="s">
        <v>43</v>
      </c>
      <c r="W51" t="s">
        <v>36</v>
      </c>
      <c r="X51" t="s">
        <v>65</v>
      </c>
      <c r="Y51" t="s">
        <v>56</v>
      </c>
      <c r="Z51" t="s">
        <v>47</v>
      </c>
      <c r="AA51">
        <v>4.2</v>
      </c>
      <c r="AB51">
        <v>5</v>
      </c>
      <c r="AC51">
        <v>0</v>
      </c>
      <c r="AD51" s="1">
        <v>41032</v>
      </c>
      <c r="AE51">
        <v>0</v>
      </c>
      <c r="AF51">
        <v>9</v>
      </c>
    </row>
    <row r="52" spans="1:32" x14ac:dyDescent="0.3">
      <c r="A52" t="s">
        <v>217</v>
      </c>
      <c r="B52">
        <v>5</v>
      </c>
      <c r="C52">
        <v>5</v>
      </c>
      <c r="D52">
        <v>59369</v>
      </c>
      <c r="E52" t="str">
        <f t="shared" si="0"/>
        <v>Medium</v>
      </c>
      <c r="F52">
        <v>1</v>
      </c>
      <c r="G52" t="str">
        <f t="shared" si="1"/>
        <v>Yes</v>
      </c>
      <c r="H52" t="s">
        <v>48</v>
      </c>
      <c r="I52" t="s">
        <v>28</v>
      </c>
      <c r="J52" s="1">
        <v>28819</v>
      </c>
      <c r="K52" s="2">
        <f t="shared" ca="1" si="2"/>
        <v>48</v>
      </c>
      <c r="L52" t="s">
        <v>29</v>
      </c>
      <c r="M52" t="s">
        <v>41</v>
      </c>
      <c r="N52" t="s">
        <v>31</v>
      </c>
      <c r="O52" t="s">
        <v>32</v>
      </c>
      <c r="P52" t="s">
        <v>33</v>
      </c>
      <c r="Q52" s="1">
        <v>40420</v>
      </c>
      <c r="R52" s="1">
        <v>40812</v>
      </c>
      <c r="S52" s="2">
        <f t="shared" ca="1" si="3"/>
        <v>1.0739726027397261</v>
      </c>
      <c r="T52" s="2" t="str">
        <f t="shared" ca="1" si="4"/>
        <v>0-2 Years</v>
      </c>
      <c r="U52" t="s">
        <v>42</v>
      </c>
      <c r="V52" t="s">
        <v>43</v>
      </c>
      <c r="W52" t="s">
        <v>36</v>
      </c>
      <c r="X52" t="s">
        <v>71</v>
      </c>
      <c r="Y52" t="s">
        <v>46</v>
      </c>
      <c r="Z52" t="s">
        <v>47</v>
      </c>
      <c r="AA52">
        <v>4.2</v>
      </c>
      <c r="AB52">
        <v>4</v>
      </c>
      <c r="AC52">
        <v>0</v>
      </c>
      <c r="AD52" s="1">
        <v>40667</v>
      </c>
      <c r="AE52">
        <v>0</v>
      </c>
      <c r="AF52">
        <v>6</v>
      </c>
    </row>
    <row r="53" spans="1:32" x14ac:dyDescent="0.3">
      <c r="A53" t="s">
        <v>218</v>
      </c>
      <c r="B53">
        <v>2</v>
      </c>
      <c r="C53">
        <v>5</v>
      </c>
      <c r="D53">
        <v>50373</v>
      </c>
      <c r="E53" t="str">
        <f t="shared" si="0"/>
        <v>Medium</v>
      </c>
      <c r="F53">
        <v>0</v>
      </c>
      <c r="G53" t="str">
        <f t="shared" si="1"/>
        <v>No</v>
      </c>
      <c r="H53" t="s">
        <v>27</v>
      </c>
      <c r="I53" t="s">
        <v>28</v>
      </c>
      <c r="J53" s="1">
        <v>29459</v>
      </c>
      <c r="K53" s="2">
        <f t="shared" ca="1" si="2"/>
        <v>46</v>
      </c>
      <c r="L53" t="s">
        <v>29</v>
      </c>
      <c r="M53" t="s">
        <v>41</v>
      </c>
      <c r="N53" t="s">
        <v>31</v>
      </c>
      <c r="O53" t="s">
        <v>32</v>
      </c>
      <c r="P53" t="s">
        <v>33</v>
      </c>
      <c r="Q53" s="1">
        <v>42557</v>
      </c>
      <c r="S53" s="2">
        <f t="shared" ca="1" si="3"/>
        <v>9.7452054794520553</v>
      </c>
      <c r="T53" s="2" t="str">
        <f t="shared" ca="1" si="4"/>
        <v>6-10 Years</v>
      </c>
      <c r="U53" t="s">
        <v>34</v>
      </c>
      <c r="V53" t="s">
        <v>35</v>
      </c>
      <c r="W53" t="s">
        <v>36</v>
      </c>
      <c r="X53" t="s">
        <v>65</v>
      </c>
      <c r="Y53" t="s">
        <v>63</v>
      </c>
      <c r="Z53" t="s">
        <v>39</v>
      </c>
      <c r="AA53">
        <v>4.0999999999999996</v>
      </c>
      <c r="AB53">
        <v>4</v>
      </c>
      <c r="AC53">
        <v>0</v>
      </c>
      <c r="AD53" s="1">
        <v>43524</v>
      </c>
      <c r="AE53">
        <v>0</v>
      </c>
      <c r="AF53">
        <v>5</v>
      </c>
    </row>
    <row r="54" spans="1:32" x14ac:dyDescent="0.3">
      <c r="A54" t="s">
        <v>219</v>
      </c>
      <c r="B54">
        <v>1</v>
      </c>
      <c r="C54">
        <v>5</v>
      </c>
      <c r="D54">
        <v>63108</v>
      </c>
      <c r="E54" t="str">
        <f t="shared" si="0"/>
        <v>High</v>
      </c>
      <c r="F54">
        <v>0</v>
      </c>
      <c r="G54" t="str">
        <f t="shared" si="1"/>
        <v>No</v>
      </c>
      <c r="H54" t="s">
        <v>27</v>
      </c>
      <c r="I54" t="s">
        <v>28</v>
      </c>
      <c r="J54" s="1">
        <v>28376</v>
      </c>
      <c r="K54" s="2">
        <f t="shared" ca="1" si="2"/>
        <v>49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 s="1">
        <v>41463</v>
      </c>
      <c r="S54" s="2">
        <f t="shared" ca="1" si="3"/>
        <v>12.742465753424657</v>
      </c>
      <c r="T54" s="2" t="str">
        <f t="shared" ca="1" si="4"/>
        <v>10+ Years</v>
      </c>
      <c r="U54" t="s">
        <v>34</v>
      </c>
      <c r="V54" t="s">
        <v>35</v>
      </c>
      <c r="W54" t="s">
        <v>36</v>
      </c>
      <c r="X54" t="s">
        <v>71</v>
      </c>
      <c r="Y54" t="s">
        <v>63</v>
      </c>
      <c r="Z54" t="s">
        <v>47</v>
      </c>
      <c r="AA54">
        <v>4.4000000000000004</v>
      </c>
      <c r="AB54">
        <v>5</v>
      </c>
      <c r="AC54">
        <v>0</v>
      </c>
      <c r="AD54" s="1">
        <v>43479</v>
      </c>
      <c r="AE54">
        <v>0</v>
      </c>
      <c r="AF54">
        <v>3</v>
      </c>
    </row>
    <row r="55" spans="1:32" x14ac:dyDescent="0.3">
      <c r="A55" t="s">
        <v>220</v>
      </c>
      <c r="B55">
        <v>4</v>
      </c>
      <c r="C55">
        <v>5</v>
      </c>
      <c r="D55">
        <v>59144</v>
      </c>
      <c r="E55" t="str">
        <f t="shared" si="0"/>
        <v>Medium</v>
      </c>
      <c r="F55">
        <v>1</v>
      </c>
      <c r="G55" t="str">
        <f t="shared" si="1"/>
        <v>Yes</v>
      </c>
      <c r="H55" t="s">
        <v>27</v>
      </c>
      <c r="I55" t="s">
        <v>28</v>
      </c>
      <c r="J55" s="1">
        <v>29079</v>
      </c>
      <c r="K55" s="2">
        <f t="shared" ca="1" si="2"/>
        <v>47</v>
      </c>
      <c r="L55" t="s">
        <v>29</v>
      </c>
      <c r="M55" t="s">
        <v>30</v>
      </c>
      <c r="N55" t="s">
        <v>31</v>
      </c>
      <c r="O55" t="s">
        <v>32</v>
      </c>
      <c r="P55" t="s">
        <v>64</v>
      </c>
      <c r="Q55" s="1">
        <v>40735</v>
      </c>
      <c r="R55" s="1">
        <v>42636</v>
      </c>
      <c r="S55" s="2">
        <f t="shared" ca="1" si="3"/>
        <v>5.2082191780821914</v>
      </c>
      <c r="T55" s="2" t="str">
        <f t="shared" ca="1" si="4"/>
        <v>6-10 Years</v>
      </c>
      <c r="U55" t="s">
        <v>82</v>
      </c>
      <c r="V55" t="s">
        <v>79</v>
      </c>
      <c r="W55" t="s">
        <v>36</v>
      </c>
      <c r="X55" t="s">
        <v>51</v>
      </c>
      <c r="Y55" t="s">
        <v>38</v>
      </c>
      <c r="Z55" t="s">
        <v>85</v>
      </c>
      <c r="AA55">
        <v>2</v>
      </c>
      <c r="AB55">
        <v>3</v>
      </c>
      <c r="AC55">
        <v>0</v>
      </c>
      <c r="AD55" s="1">
        <v>42491</v>
      </c>
      <c r="AE55">
        <v>5</v>
      </c>
      <c r="AF55">
        <v>16</v>
      </c>
    </row>
    <row r="56" spans="1:32" x14ac:dyDescent="0.3">
      <c r="A56" t="s">
        <v>221</v>
      </c>
      <c r="B56">
        <v>1</v>
      </c>
      <c r="C56">
        <v>5</v>
      </c>
      <c r="D56">
        <v>68051</v>
      </c>
      <c r="E56" t="str">
        <f t="shared" si="0"/>
        <v>High</v>
      </c>
      <c r="F56">
        <v>0</v>
      </c>
      <c r="G56" t="str">
        <f t="shared" si="1"/>
        <v>No</v>
      </c>
      <c r="H56" t="s">
        <v>92</v>
      </c>
      <c r="I56" t="s">
        <v>28</v>
      </c>
      <c r="J56" s="1">
        <v>27745</v>
      </c>
      <c r="K56" s="2">
        <f t="shared" ca="1" si="2"/>
        <v>51</v>
      </c>
      <c r="L56" t="s">
        <v>29</v>
      </c>
      <c r="M56" t="s">
        <v>53</v>
      </c>
      <c r="N56" t="s">
        <v>31</v>
      </c>
      <c r="O56" t="s">
        <v>32</v>
      </c>
      <c r="P56" t="s">
        <v>33</v>
      </c>
      <c r="Q56" s="1">
        <v>40379</v>
      </c>
      <c r="S56" s="2">
        <f t="shared" ca="1" si="3"/>
        <v>15.712328767123287</v>
      </c>
      <c r="T56" s="2" t="str">
        <f t="shared" ca="1" si="4"/>
        <v>10+ Years</v>
      </c>
      <c r="U56" t="s">
        <v>34</v>
      </c>
      <c r="V56" t="s">
        <v>35</v>
      </c>
      <c r="W56" t="s">
        <v>36</v>
      </c>
      <c r="X56" t="s">
        <v>94</v>
      </c>
      <c r="Y56" t="s">
        <v>84</v>
      </c>
      <c r="Z56" t="s">
        <v>85</v>
      </c>
      <c r="AA56">
        <v>4.13</v>
      </c>
      <c r="AB56">
        <v>2</v>
      </c>
      <c r="AC56">
        <v>0</v>
      </c>
      <c r="AD56" s="1">
        <v>43479</v>
      </c>
      <c r="AE56">
        <v>3</v>
      </c>
      <c r="AF56">
        <v>3</v>
      </c>
    </row>
    <row r="57" spans="1:32" x14ac:dyDescent="0.3">
      <c r="A57" t="s">
        <v>222</v>
      </c>
      <c r="B57">
        <v>1</v>
      </c>
      <c r="C57">
        <v>5</v>
      </c>
      <c r="D57">
        <v>170500</v>
      </c>
      <c r="E57" t="str">
        <f t="shared" si="0"/>
        <v>High</v>
      </c>
      <c r="F57">
        <v>0</v>
      </c>
      <c r="G57" t="str">
        <f t="shared" si="1"/>
        <v>No</v>
      </c>
      <c r="H57" t="s">
        <v>109</v>
      </c>
      <c r="I57" t="s">
        <v>28</v>
      </c>
      <c r="J57" s="1">
        <v>30394</v>
      </c>
      <c r="K57" s="2">
        <f t="shared" ca="1" si="2"/>
        <v>43</v>
      </c>
      <c r="L57" t="s">
        <v>29</v>
      </c>
      <c r="M57" t="s">
        <v>30</v>
      </c>
      <c r="N57" t="s">
        <v>31</v>
      </c>
      <c r="O57" t="s">
        <v>32</v>
      </c>
      <c r="P57" t="s">
        <v>64</v>
      </c>
      <c r="Q57" s="1">
        <v>39818</v>
      </c>
      <c r="S57" s="2">
        <f t="shared" ca="1" si="3"/>
        <v>17.24931506849315</v>
      </c>
      <c r="T57" s="2" t="str">
        <f t="shared" ca="1" si="4"/>
        <v>10+ Years</v>
      </c>
      <c r="U57" t="s">
        <v>34</v>
      </c>
      <c r="V57" t="s">
        <v>35</v>
      </c>
      <c r="W57" t="s">
        <v>36</v>
      </c>
      <c r="X57" t="s">
        <v>94</v>
      </c>
      <c r="Y57" t="s">
        <v>46</v>
      </c>
      <c r="Z57" t="s">
        <v>39</v>
      </c>
      <c r="AA57">
        <v>3.7</v>
      </c>
      <c r="AB57">
        <v>5</v>
      </c>
      <c r="AC57">
        <v>0</v>
      </c>
      <c r="AD57" s="1">
        <v>43500</v>
      </c>
      <c r="AE57">
        <v>0</v>
      </c>
      <c r="AF57">
        <v>15</v>
      </c>
    </row>
    <row r="58" spans="1:32" x14ac:dyDescent="0.3">
      <c r="A58" t="s">
        <v>223</v>
      </c>
      <c r="B58">
        <v>1</v>
      </c>
      <c r="C58">
        <v>5</v>
      </c>
      <c r="D58">
        <v>63381</v>
      </c>
      <c r="E58" t="str">
        <f t="shared" si="0"/>
        <v>High</v>
      </c>
      <c r="F58">
        <v>0</v>
      </c>
      <c r="G58" t="str">
        <f t="shared" si="1"/>
        <v>No</v>
      </c>
      <c r="H58" t="s">
        <v>27</v>
      </c>
      <c r="I58" t="s">
        <v>28</v>
      </c>
      <c r="J58" s="1">
        <v>28215</v>
      </c>
      <c r="K58" s="2">
        <f t="shared" ca="1" si="2"/>
        <v>49</v>
      </c>
      <c r="L58" t="s">
        <v>49</v>
      </c>
      <c r="M58" t="s">
        <v>41</v>
      </c>
      <c r="N58" t="s">
        <v>31</v>
      </c>
      <c r="O58" t="s">
        <v>69</v>
      </c>
      <c r="P58" t="s">
        <v>33</v>
      </c>
      <c r="Q58" s="1">
        <v>42009</v>
      </c>
      <c r="S58" s="2">
        <f t="shared" ca="1" si="3"/>
        <v>11.246575342465754</v>
      </c>
      <c r="T58" s="2" t="str">
        <f t="shared" ca="1" si="4"/>
        <v>10+ Years</v>
      </c>
      <c r="U58" t="s">
        <v>34</v>
      </c>
      <c r="V58" t="s">
        <v>35</v>
      </c>
      <c r="W58" t="s">
        <v>36</v>
      </c>
      <c r="X58" t="s">
        <v>76</v>
      </c>
      <c r="Y58" t="s">
        <v>46</v>
      </c>
      <c r="Z58" t="s">
        <v>47</v>
      </c>
      <c r="AA58">
        <v>4.7300000000000004</v>
      </c>
      <c r="AB58">
        <v>5</v>
      </c>
      <c r="AC58">
        <v>0</v>
      </c>
      <c r="AD58" s="1">
        <v>43510</v>
      </c>
      <c r="AE58">
        <v>0</v>
      </c>
      <c r="AF58">
        <v>6</v>
      </c>
    </row>
    <row r="59" spans="1:32" x14ac:dyDescent="0.3">
      <c r="A59" t="s">
        <v>224</v>
      </c>
      <c r="B59">
        <v>1</v>
      </c>
      <c r="C59">
        <v>3</v>
      </c>
      <c r="D59">
        <v>83552</v>
      </c>
      <c r="E59" t="str">
        <f t="shared" si="0"/>
        <v>High</v>
      </c>
      <c r="F59">
        <v>0</v>
      </c>
      <c r="G59" t="str">
        <f t="shared" si="1"/>
        <v>No</v>
      </c>
      <c r="H59" t="s">
        <v>73</v>
      </c>
      <c r="I59" t="s">
        <v>28</v>
      </c>
      <c r="J59" s="1">
        <v>31650</v>
      </c>
      <c r="K59" s="2">
        <f t="shared" ca="1" si="2"/>
        <v>40</v>
      </c>
      <c r="L59" t="s">
        <v>29</v>
      </c>
      <c r="M59" t="s">
        <v>41</v>
      </c>
      <c r="N59" t="s">
        <v>31</v>
      </c>
      <c r="O59" t="s">
        <v>32</v>
      </c>
      <c r="P59" t="s">
        <v>33</v>
      </c>
      <c r="Q59" s="1">
        <v>42093</v>
      </c>
      <c r="S59" s="2">
        <f t="shared" ca="1" si="3"/>
        <v>11.016438356164384</v>
      </c>
      <c r="T59" s="2" t="str">
        <f t="shared" ca="1" si="4"/>
        <v>10+ Years</v>
      </c>
      <c r="U59" t="s">
        <v>34</v>
      </c>
      <c r="V59" t="s">
        <v>35</v>
      </c>
      <c r="W59" t="s">
        <v>44</v>
      </c>
      <c r="X59" t="s">
        <v>45</v>
      </c>
      <c r="Y59" t="s">
        <v>46</v>
      </c>
      <c r="Z59" t="s">
        <v>47</v>
      </c>
      <c r="AA59">
        <v>3.04</v>
      </c>
      <c r="AB59">
        <v>3</v>
      </c>
      <c r="AC59">
        <v>6</v>
      </c>
      <c r="AD59" s="1">
        <v>43487</v>
      </c>
      <c r="AE59">
        <v>0</v>
      </c>
      <c r="AF59">
        <v>2</v>
      </c>
    </row>
    <row r="60" spans="1:32" x14ac:dyDescent="0.3">
      <c r="A60" t="s">
        <v>225</v>
      </c>
      <c r="B60">
        <v>2</v>
      </c>
      <c r="C60">
        <v>5</v>
      </c>
      <c r="D60">
        <v>56149</v>
      </c>
      <c r="E60" t="str">
        <f t="shared" si="0"/>
        <v>Medium</v>
      </c>
      <c r="F60">
        <v>0</v>
      </c>
      <c r="G60" t="str">
        <f t="shared" si="1"/>
        <v>No</v>
      </c>
      <c r="H60" t="s">
        <v>27</v>
      </c>
      <c r="I60" t="s">
        <v>28</v>
      </c>
      <c r="J60" s="1">
        <v>31877</v>
      </c>
      <c r="K60" s="2">
        <f t="shared" ca="1" si="2"/>
        <v>39</v>
      </c>
      <c r="L60" t="s">
        <v>49</v>
      </c>
      <c r="M60" t="s">
        <v>30</v>
      </c>
      <c r="N60" t="s">
        <v>31</v>
      </c>
      <c r="O60" t="s">
        <v>32</v>
      </c>
      <c r="P60" t="s">
        <v>33</v>
      </c>
      <c r="Q60" s="1">
        <v>42557</v>
      </c>
      <c r="S60" s="2">
        <f t="shared" ca="1" si="3"/>
        <v>9.7452054794520553</v>
      </c>
      <c r="T60" s="2" t="str">
        <f t="shared" ca="1" si="4"/>
        <v>6-10 Years</v>
      </c>
      <c r="U60" t="s">
        <v>34</v>
      </c>
      <c r="V60" t="s">
        <v>35</v>
      </c>
      <c r="W60" t="s">
        <v>36</v>
      </c>
      <c r="X60" t="s">
        <v>37</v>
      </c>
      <c r="Y60" t="s">
        <v>38</v>
      </c>
      <c r="Z60" t="s">
        <v>47</v>
      </c>
      <c r="AA60">
        <v>4.12</v>
      </c>
      <c r="AB60">
        <v>5</v>
      </c>
      <c r="AC60">
        <v>0</v>
      </c>
      <c r="AD60" s="1">
        <v>43493</v>
      </c>
      <c r="AE60">
        <v>0</v>
      </c>
      <c r="AF60">
        <v>15</v>
      </c>
    </row>
    <row r="61" spans="1:32" x14ac:dyDescent="0.3">
      <c r="A61" t="s">
        <v>226</v>
      </c>
      <c r="B61">
        <v>1</v>
      </c>
      <c r="C61">
        <v>3</v>
      </c>
      <c r="D61">
        <v>92329</v>
      </c>
      <c r="E61" t="str">
        <f t="shared" si="0"/>
        <v>High</v>
      </c>
      <c r="F61">
        <v>0</v>
      </c>
      <c r="G61" t="str">
        <f t="shared" si="1"/>
        <v>No</v>
      </c>
      <c r="H61" t="s">
        <v>110</v>
      </c>
      <c r="I61" t="s">
        <v>87</v>
      </c>
      <c r="J61" s="1">
        <v>23994</v>
      </c>
      <c r="K61" s="2">
        <f t="shared" ca="1" si="2"/>
        <v>61</v>
      </c>
      <c r="L61" t="s">
        <v>29</v>
      </c>
      <c r="M61" t="s">
        <v>30</v>
      </c>
      <c r="N61" t="s">
        <v>31</v>
      </c>
      <c r="O61" t="s">
        <v>32</v>
      </c>
      <c r="P61" t="s">
        <v>33</v>
      </c>
      <c r="Q61" s="1">
        <v>41953</v>
      </c>
      <c r="S61" s="2">
        <f t="shared" ca="1" si="3"/>
        <v>11.4</v>
      </c>
      <c r="T61" s="2" t="str">
        <f t="shared" ca="1" si="4"/>
        <v>10+ Years</v>
      </c>
      <c r="U61" t="s">
        <v>34</v>
      </c>
      <c r="V61" t="s">
        <v>35</v>
      </c>
      <c r="W61" t="s">
        <v>44</v>
      </c>
      <c r="X61" t="s">
        <v>68</v>
      </c>
      <c r="Y61" t="s">
        <v>63</v>
      </c>
      <c r="Z61" t="s">
        <v>47</v>
      </c>
      <c r="AA61">
        <v>5</v>
      </c>
      <c r="AB61">
        <v>3</v>
      </c>
      <c r="AC61">
        <v>4</v>
      </c>
      <c r="AD61" s="1">
        <v>43467</v>
      </c>
      <c r="AE61">
        <v>0</v>
      </c>
      <c r="AF61">
        <v>5</v>
      </c>
    </row>
    <row r="62" spans="1:32" x14ac:dyDescent="0.3">
      <c r="A62" t="s">
        <v>227</v>
      </c>
      <c r="B62">
        <v>1</v>
      </c>
      <c r="C62">
        <v>6</v>
      </c>
      <c r="D62">
        <v>65729</v>
      </c>
      <c r="E62" t="str">
        <f t="shared" si="0"/>
        <v>High</v>
      </c>
      <c r="F62">
        <v>0</v>
      </c>
      <c r="G62" t="str">
        <f t="shared" si="1"/>
        <v>No</v>
      </c>
      <c r="H62" t="s">
        <v>111</v>
      </c>
      <c r="I62" t="s">
        <v>103</v>
      </c>
      <c r="J62" s="1">
        <v>32982</v>
      </c>
      <c r="K62" s="2">
        <f t="shared" ca="1" si="2"/>
        <v>36</v>
      </c>
      <c r="L62" t="s">
        <v>49</v>
      </c>
      <c r="M62" t="s">
        <v>30</v>
      </c>
      <c r="N62" t="s">
        <v>31</v>
      </c>
      <c r="O62" t="s">
        <v>32</v>
      </c>
      <c r="P62" t="s">
        <v>33</v>
      </c>
      <c r="Q62" s="1">
        <v>41764</v>
      </c>
      <c r="S62" s="2">
        <f t="shared" ca="1" si="3"/>
        <v>11.917808219178083</v>
      </c>
      <c r="T62" s="2" t="str">
        <f t="shared" ca="1" si="4"/>
        <v>10+ Years</v>
      </c>
      <c r="U62" t="s">
        <v>34</v>
      </c>
      <c r="V62" t="s">
        <v>35</v>
      </c>
      <c r="W62" t="s">
        <v>99</v>
      </c>
      <c r="X62" t="s">
        <v>112</v>
      </c>
      <c r="Y62" t="s">
        <v>46</v>
      </c>
      <c r="Z62" t="s">
        <v>47</v>
      </c>
      <c r="AA62">
        <v>4.62</v>
      </c>
      <c r="AB62">
        <v>4</v>
      </c>
      <c r="AC62">
        <v>0</v>
      </c>
      <c r="AD62" s="1">
        <v>43489</v>
      </c>
      <c r="AE62">
        <v>0</v>
      </c>
      <c r="AF62">
        <v>8</v>
      </c>
    </row>
    <row r="63" spans="1:32" x14ac:dyDescent="0.3">
      <c r="A63" t="s">
        <v>228</v>
      </c>
      <c r="B63">
        <v>3</v>
      </c>
      <c r="C63">
        <v>3</v>
      </c>
      <c r="D63">
        <v>85028</v>
      </c>
      <c r="E63" t="str">
        <f t="shared" si="0"/>
        <v>High</v>
      </c>
      <c r="F63">
        <v>0</v>
      </c>
      <c r="G63" t="str">
        <f t="shared" si="1"/>
        <v>No</v>
      </c>
      <c r="H63" t="s">
        <v>110</v>
      </c>
      <c r="I63" t="s">
        <v>87</v>
      </c>
      <c r="J63" s="1">
        <v>19011</v>
      </c>
      <c r="K63" s="2">
        <f t="shared" ca="1" si="2"/>
        <v>74</v>
      </c>
      <c r="L63" t="s">
        <v>49</v>
      </c>
      <c r="M63" t="s">
        <v>41</v>
      </c>
      <c r="N63" t="s">
        <v>31</v>
      </c>
      <c r="O63" t="s">
        <v>32</v>
      </c>
      <c r="P63" t="s">
        <v>33</v>
      </c>
      <c r="Q63" s="1">
        <v>41953</v>
      </c>
      <c r="S63" s="2">
        <f t="shared" ca="1" si="3"/>
        <v>11.4</v>
      </c>
      <c r="T63" s="2" t="str">
        <f t="shared" ca="1" si="4"/>
        <v>10+ Years</v>
      </c>
      <c r="U63" t="s">
        <v>34</v>
      </c>
      <c r="V63" t="s">
        <v>35</v>
      </c>
      <c r="W63" t="s">
        <v>44</v>
      </c>
      <c r="X63" t="s">
        <v>68</v>
      </c>
      <c r="Y63" t="s">
        <v>38</v>
      </c>
      <c r="Z63" t="s">
        <v>47</v>
      </c>
      <c r="AA63">
        <v>3.1</v>
      </c>
      <c r="AB63">
        <v>5</v>
      </c>
      <c r="AC63">
        <v>8</v>
      </c>
      <c r="AD63" s="1">
        <v>43508</v>
      </c>
      <c r="AE63">
        <v>0</v>
      </c>
      <c r="AF63">
        <v>19</v>
      </c>
    </row>
    <row r="64" spans="1:32" x14ac:dyDescent="0.3">
      <c r="A64" t="s">
        <v>229</v>
      </c>
      <c r="B64">
        <v>1</v>
      </c>
      <c r="C64">
        <v>5</v>
      </c>
      <c r="D64">
        <v>57583</v>
      </c>
      <c r="E64" t="str">
        <f t="shared" si="0"/>
        <v>Medium</v>
      </c>
      <c r="F64">
        <v>0</v>
      </c>
      <c r="G64" t="str">
        <f t="shared" si="1"/>
        <v>No</v>
      </c>
      <c r="H64" t="s">
        <v>27</v>
      </c>
      <c r="I64" t="s">
        <v>28</v>
      </c>
      <c r="J64" s="1">
        <v>28799</v>
      </c>
      <c r="K64" s="2">
        <f t="shared" ca="1" si="2"/>
        <v>48</v>
      </c>
      <c r="L64" t="s">
        <v>49</v>
      </c>
      <c r="M64" t="s">
        <v>41</v>
      </c>
      <c r="N64" t="s">
        <v>31</v>
      </c>
      <c r="O64" t="s">
        <v>32</v>
      </c>
      <c r="P64" t="s">
        <v>33</v>
      </c>
      <c r="Q64" s="1">
        <v>41092</v>
      </c>
      <c r="S64" s="2">
        <f t="shared" ca="1" si="3"/>
        <v>13.758904109589041</v>
      </c>
      <c r="T64" s="2" t="str">
        <f t="shared" ca="1" si="4"/>
        <v>10+ Years</v>
      </c>
      <c r="U64" t="s">
        <v>34</v>
      </c>
      <c r="V64" t="s">
        <v>35</v>
      </c>
      <c r="W64" t="s">
        <v>36</v>
      </c>
      <c r="X64" t="s">
        <v>52</v>
      </c>
      <c r="Y64" t="s">
        <v>46</v>
      </c>
      <c r="Z64" t="s">
        <v>47</v>
      </c>
      <c r="AA64">
        <v>5</v>
      </c>
      <c r="AB64">
        <v>3</v>
      </c>
      <c r="AC64">
        <v>0</v>
      </c>
      <c r="AD64" s="1">
        <v>43521</v>
      </c>
      <c r="AE64">
        <v>0</v>
      </c>
      <c r="AF64">
        <v>1</v>
      </c>
    </row>
    <row r="65" spans="1:32" x14ac:dyDescent="0.3">
      <c r="A65" t="s">
        <v>230</v>
      </c>
      <c r="B65">
        <v>1</v>
      </c>
      <c r="C65">
        <v>5</v>
      </c>
      <c r="D65">
        <v>56294</v>
      </c>
      <c r="E65" t="str">
        <f t="shared" si="0"/>
        <v>Medium</v>
      </c>
      <c r="F65">
        <v>0</v>
      </c>
      <c r="G65" t="str">
        <f t="shared" si="1"/>
        <v>No</v>
      </c>
      <c r="H65" t="s">
        <v>48</v>
      </c>
      <c r="I65" t="s">
        <v>28</v>
      </c>
      <c r="J65" s="1">
        <v>29112</v>
      </c>
      <c r="K65" s="2">
        <f t="shared" ca="1" si="2"/>
        <v>47</v>
      </c>
      <c r="L65" t="s">
        <v>29</v>
      </c>
      <c r="M65" t="s">
        <v>30</v>
      </c>
      <c r="N65" t="s">
        <v>80</v>
      </c>
      <c r="O65" t="s">
        <v>32</v>
      </c>
      <c r="P65" t="s">
        <v>75</v>
      </c>
      <c r="Q65" s="1">
        <v>40854</v>
      </c>
      <c r="S65" s="2">
        <f t="shared" ca="1" si="3"/>
        <v>14.41095890410959</v>
      </c>
      <c r="T65" s="2" t="str">
        <f t="shared" ca="1" si="4"/>
        <v>10+ Years</v>
      </c>
      <c r="U65" t="s">
        <v>34</v>
      </c>
      <c r="V65" t="s">
        <v>35</v>
      </c>
      <c r="W65" t="s">
        <v>36</v>
      </c>
      <c r="X65" t="s">
        <v>51</v>
      </c>
      <c r="Y65" t="s">
        <v>38</v>
      </c>
      <c r="Z65" t="s">
        <v>47</v>
      </c>
      <c r="AA65">
        <v>3.96</v>
      </c>
      <c r="AB65">
        <v>4</v>
      </c>
      <c r="AC65">
        <v>0</v>
      </c>
      <c r="AD65" s="1">
        <v>43523</v>
      </c>
      <c r="AE65">
        <v>0</v>
      </c>
      <c r="AF65">
        <v>6</v>
      </c>
    </row>
    <row r="66" spans="1:32" x14ac:dyDescent="0.3">
      <c r="A66" t="s">
        <v>231</v>
      </c>
      <c r="B66">
        <v>1</v>
      </c>
      <c r="C66">
        <v>6</v>
      </c>
      <c r="D66">
        <v>56991</v>
      </c>
      <c r="E66" t="str">
        <f t="shared" si="0"/>
        <v>Medium</v>
      </c>
      <c r="F66">
        <v>0</v>
      </c>
      <c r="G66" t="str">
        <f t="shared" si="1"/>
        <v>No</v>
      </c>
      <c r="H66" t="s">
        <v>27</v>
      </c>
      <c r="I66" t="s">
        <v>28</v>
      </c>
      <c r="J66" s="1">
        <v>32248</v>
      </c>
      <c r="K66" s="2">
        <f t="shared" ca="1" si="2"/>
        <v>38</v>
      </c>
      <c r="L66" t="s">
        <v>29</v>
      </c>
      <c r="M66" t="s">
        <v>41</v>
      </c>
      <c r="N66" t="s">
        <v>31</v>
      </c>
      <c r="O66" t="s">
        <v>32</v>
      </c>
      <c r="P66" t="s">
        <v>33</v>
      </c>
      <c r="Q66" s="1">
        <v>43290</v>
      </c>
      <c r="S66" s="2">
        <f t="shared" ca="1" si="3"/>
        <v>7.7369863013698632</v>
      </c>
      <c r="T66" s="2" t="str">
        <f t="shared" ca="1" si="4"/>
        <v>6-10 Years</v>
      </c>
      <c r="U66" t="s">
        <v>34</v>
      </c>
      <c r="V66" t="s">
        <v>35</v>
      </c>
      <c r="W66" t="s">
        <v>36</v>
      </c>
      <c r="X66" t="s">
        <v>65</v>
      </c>
      <c r="Y66" t="s">
        <v>46</v>
      </c>
      <c r="Z66" t="s">
        <v>47</v>
      </c>
      <c r="AA66">
        <v>4.3</v>
      </c>
      <c r="AB66">
        <v>4</v>
      </c>
      <c r="AC66">
        <v>3</v>
      </c>
      <c r="AD66" s="1">
        <v>43496</v>
      </c>
      <c r="AE66">
        <v>2</v>
      </c>
      <c r="AF66">
        <v>2</v>
      </c>
    </row>
    <row r="67" spans="1:32" x14ac:dyDescent="0.3">
      <c r="A67" t="s">
        <v>232</v>
      </c>
      <c r="B67">
        <v>5</v>
      </c>
      <c r="C67">
        <v>5</v>
      </c>
      <c r="D67">
        <v>55722</v>
      </c>
      <c r="E67" t="str">
        <f t="shared" ref="E67:E130" si="5">IF(D67&lt;30000,"Low",IF(D67&lt;60000,"Medium", "High"))</f>
        <v>Medium</v>
      </c>
      <c r="F67">
        <v>1</v>
      </c>
      <c r="G67" t="str">
        <f t="shared" ref="G67:G130" si="6">IF(F67=1,"Yes", "No")</f>
        <v>Yes</v>
      </c>
      <c r="H67" t="s">
        <v>27</v>
      </c>
      <c r="I67" t="s">
        <v>28</v>
      </c>
      <c r="J67" s="1">
        <v>28429</v>
      </c>
      <c r="K67" s="2">
        <f t="shared" ref="K67:K130" ca="1" si="7">YEAR(TODAY())-YEAR(J67)</f>
        <v>49</v>
      </c>
      <c r="L67" t="s">
        <v>29</v>
      </c>
      <c r="M67" t="s">
        <v>41</v>
      </c>
      <c r="N67" t="s">
        <v>31</v>
      </c>
      <c r="O67" t="s">
        <v>32</v>
      </c>
      <c r="P67" t="s">
        <v>33</v>
      </c>
      <c r="Q67" s="1">
        <v>40679</v>
      </c>
      <c r="R67" s="1">
        <v>42529</v>
      </c>
      <c r="S67" s="2">
        <f t="shared" ref="S67:S130" ca="1" si="8">IF(ISBLANK(R67), (TODAY()-Q67)/365,(R67-Q67)/365)</f>
        <v>5.0684931506849313</v>
      </c>
      <c r="T67" s="2" t="str">
        <f t="shared" ref="T67:T130" ca="1" si="9">IF(S67&lt;=2,"0-2 Years", IF(S67&lt;=5,"3-5 Years", IF(S67&lt;=10,"6-10 Years", "10+ Years")))</f>
        <v>6-10 Years</v>
      </c>
      <c r="U67" t="s">
        <v>72</v>
      </c>
      <c r="V67" t="s">
        <v>43</v>
      </c>
      <c r="W67" t="s">
        <v>36</v>
      </c>
      <c r="X67" t="s">
        <v>55</v>
      </c>
      <c r="Y67" t="s">
        <v>46</v>
      </c>
      <c r="Z67" t="s">
        <v>47</v>
      </c>
      <c r="AA67">
        <v>5</v>
      </c>
      <c r="AB67">
        <v>4</v>
      </c>
      <c r="AC67">
        <v>0</v>
      </c>
      <c r="AD67" s="1">
        <v>42462</v>
      </c>
      <c r="AE67">
        <v>0</v>
      </c>
      <c r="AF67">
        <v>14</v>
      </c>
    </row>
    <row r="68" spans="1:32" x14ac:dyDescent="0.3">
      <c r="A68" t="s">
        <v>233</v>
      </c>
      <c r="B68">
        <v>1</v>
      </c>
      <c r="C68">
        <v>4</v>
      </c>
      <c r="D68">
        <v>101199</v>
      </c>
      <c r="E68" t="str">
        <f t="shared" si="5"/>
        <v>High</v>
      </c>
      <c r="F68">
        <v>0</v>
      </c>
      <c r="G68" t="str">
        <f t="shared" si="6"/>
        <v>No</v>
      </c>
      <c r="H68" t="s">
        <v>58</v>
      </c>
      <c r="I68" t="s">
        <v>28</v>
      </c>
      <c r="J68" s="1">
        <v>29041</v>
      </c>
      <c r="K68" s="2">
        <f t="shared" ca="1" si="7"/>
        <v>47</v>
      </c>
      <c r="L68" t="s">
        <v>49</v>
      </c>
      <c r="M68" t="s">
        <v>30</v>
      </c>
      <c r="N68" t="s">
        <v>31</v>
      </c>
      <c r="O68" t="s">
        <v>32</v>
      </c>
      <c r="P68" t="s">
        <v>64</v>
      </c>
      <c r="Q68" s="1">
        <v>40917</v>
      </c>
      <c r="S68" s="2">
        <f t="shared" ca="1" si="8"/>
        <v>14.238356164383562</v>
      </c>
      <c r="T68" s="2" t="str">
        <f t="shared" ca="1" si="9"/>
        <v>10+ Years</v>
      </c>
      <c r="U68" t="s">
        <v>34</v>
      </c>
      <c r="V68" t="s">
        <v>35</v>
      </c>
      <c r="W68" t="s">
        <v>59</v>
      </c>
      <c r="X68" t="s">
        <v>60</v>
      </c>
      <c r="Y68" t="s">
        <v>84</v>
      </c>
      <c r="Z68" t="s">
        <v>47</v>
      </c>
      <c r="AA68">
        <v>3.79</v>
      </c>
      <c r="AB68">
        <v>5</v>
      </c>
      <c r="AC68">
        <v>5</v>
      </c>
      <c r="AD68" s="1">
        <v>43490</v>
      </c>
      <c r="AE68">
        <v>0</v>
      </c>
      <c r="AF68">
        <v>8</v>
      </c>
    </row>
    <row r="69" spans="1:32" x14ac:dyDescent="0.3">
      <c r="A69" t="s">
        <v>234</v>
      </c>
      <c r="B69">
        <v>1</v>
      </c>
      <c r="C69">
        <v>6</v>
      </c>
      <c r="D69">
        <v>61568</v>
      </c>
      <c r="E69" t="str">
        <f t="shared" si="5"/>
        <v>High</v>
      </c>
      <c r="F69">
        <v>0</v>
      </c>
      <c r="G69" t="str">
        <f t="shared" si="6"/>
        <v>No</v>
      </c>
      <c r="H69" t="s">
        <v>97</v>
      </c>
      <c r="I69" t="s">
        <v>113</v>
      </c>
      <c r="J69" s="1">
        <v>27700</v>
      </c>
      <c r="K69" s="2">
        <f t="shared" ca="1" si="7"/>
        <v>51</v>
      </c>
      <c r="L69" t="s">
        <v>29</v>
      </c>
      <c r="M69" t="s">
        <v>30</v>
      </c>
      <c r="N69" t="s">
        <v>31</v>
      </c>
      <c r="O69" t="s">
        <v>32</v>
      </c>
      <c r="P69" t="s">
        <v>75</v>
      </c>
      <c r="Q69" s="1">
        <v>41911</v>
      </c>
      <c r="S69" s="2">
        <f t="shared" ca="1" si="8"/>
        <v>11.515068493150684</v>
      </c>
      <c r="T69" s="2" t="str">
        <f t="shared" ca="1" si="9"/>
        <v>10+ Years</v>
      </c>
      <c r="U69" t="s">
        <v>34</v>
      </c>
      <c r="V69" t="s">
        <v>35</v>
      </c>
      <c r="W69" t="s">
        <v>99</v>
      </c>
      <c r="X69" t="s">
        <v>100</v>
      </c>
      <c r="Y69" t="s">
        <v>46</v>
      </c>
      <c r="Z69" t="s">
        <v>114</v>
      </c>
      <c r="AA69">
        <v>1.93</v>
      </c>
      <c r="AB69">
        <v>3</v>
      </c>
      <c r="AC69">
        <v>0</v>
      </c>
      <c r="AD69" s="1">
        <v>43495</v>
      </c>
      <c r="AE69">
        <v>6</v>
      </c>
      <c r="AF69">
        <v>5</v>
      </c>
    </row>
    <row r="70" spans="1:32" x14ac:dyDescent="0.3">
      <c r="A70" t="s">
        <v>235</v>
      </c>
      <c r="B70">
        <v>5</v>
      </c>
      <c r="C70">
        <v>5</v>
      </c>
      <c r="D70">
        <v>58275</v>
      </c>
      <c r="E70" t="str">
        <f t="shared" si="5"/>
        <v>Medium</v>
      </c>
      <c r="F70">
        <v>1</v>
      </c>
      <c r="G70" t="str">
        <f t="shared" si="6"/>
        <v>Yes</v>
      </c>
      <c r="H70" t="s">
        <v>48</v>
      </c>
      <c r="I70" t="s">
        <v>28</v>
      </c>
      <c r="J70" s="1">
        <v>18684</v>
      </c>
      <c r="K70" s="2">
        <f t="shared" ca="1" si="7"/>
        <v>75</v>
      </c>
      <c r="L70" t="s">
        <v>49</v>
      </c>
      <c r="M70" t="s">
        <v>96</v>
      </c>
      <c r="N70" t="s">
        <v>31</v>
      </c>
      <c r="O70" t="s">
        <v>32</v>
      </c>
      <c r="P70" t="s">
        <v>64</v>
      </c>
      <c r="Q70" s="1">
        <v>40637</v>
      </c>
      <c r="R70" s="1">
        <v>42312</v>
      </c>
      <c r="S70" s="2">
        <f t="shared" ca="1" si="8"/>
        <v>4.5890410958904111</v>
      </c>
      <c r="T70" s="2" t="str">
        <f t="shared" ca="1" si="9"/>
        <v>3-5 Years</v>
      </c>
      <c r="U70" t="s">
        <v>115</v>
      </c>
      <c r="V70" t="s">
        <v>43</v>
      </c>
      <c r="W70" t="s">
        <v>36</v>
      </c>
      <c r="X70" t="s">
        <v>76</v>
      </c>
      <c r="Y70" t="s">
        <v>56</v>
      </c>
      <c r="Z70" t="s">
        <v>47</v>
      </c>
      <c r="AA70">
        <v>4.62</v>
      </c>
      <c r="AB70">
        <v>5</v>
      </c>
      <c r="AC70">
        <v>0</v>
      </c>
      <c r="AD70" s="1">
        <v>42130</v>
      </c>
      <c r="AE70">
        <v>0</v>
      </c>
      <c r="AF70">
        <v>1</v>
      </c>
    </row>
    <row r="71" spans="1:32" x14ac:dyDescent="0.3">
      <c r="A71" t="s">
        <v>236</v>
      </c>
      <c r="B71">
        <v>1</v>
      </c>
      <c r="C71">
        <v>5</v>
      </c>
      <c r="D71">
        <v>53189</v>
      </c>
      <c r="E71" t="str">
        <f t="shared" si="5"/>
        <v>Medium</v>
      </c>
      <c r="F71">
        <v>0</v>
      </c>
      <c r="G71" t="str">
        <f t="shared" si="6"/>
        <v>No</v>
      </c>
      <c r="H71" t="s">
        <v>27</v>
      </c>
      <c r="I71" t="s">
        <v>28</v>
      </c>
      <c r="J71" s="1">
        <v>24581</v>
      </c>
      <c r="K71" s="2">
        <f t="shared" ca="1" si="7"/>
        <v>59</v>
      </c>
      <c r="L71" t="s">
        <v>29</v>
      </c>
      <c r="M71" t="s">
        <v>41</v>
      </c>
      <c r="N71" t="s">
        <v>31</v>
      </c>
      <c r="O71" t="s">
        <v>32</v>
      </c>
      <c r="P71" t="s">
        <v>33</v>
      </c>
      <c r="Q71" s="1">
        <v>41827</v>
      </c>
      <c r="S71" s="2">
        <f t="shared" ca="1" si="8"/>
        <v>11.745205479452055</v>
      </c>
      <c r="T71" s="2" t="str">
        <f t="shared" ca="1" si="9"/>
        <v>10+ Years</v>
      </c>
      <c r="U71" t="s">
        <v>34</v>
      </c>
      <c r="V71" t="s">
        <v>35</v>
      </c>
      <c r="W71" t="s">
        <v>36</v>
      </c>
      <c r="X71" t="s">
        <v>57</v>
      </c>
      <c r="Y71" t="s">
        <v>46</v>
      </c>
      <c r="Z71" t="s">
        <v>114</v>
      </c>
      <c r="AA71">
        <v>1.1200000000000001</v>
      </c>
      <c r="AB71">
        <v>2</v>
      </c>
      <c r="AC71">
        <v>0</v>
      </c>
      <c r="AD71" s="1">
        <v>43496</v>
      </c>
      <c r="AE71">
        <v>4</v>
      </c>
      <c r="AF71">
        <v>9</v>
      </c>
    </row>
    <row r="72" spans="1:32" x14ac:dyDescent="0.3">
      <c r="A72" t="s">
        <v>237</v>
      </c>
      <c r="B72">
        <v>1</v>
      </c>
      <c r="C72">
        <v>3</v>
      </c>
      <c r="D72">
        <v>96820</v>
      </c>
      <c r="E72" t="str">
        <f t="shared" si="5"/>
        <v>High</v>
      </c>
      <c r="F72">
        <v>0</v>
      </c>
      <c r="G72" t="str">
        <f t="shared" si="6"/>
        <v>No</v>
      </c>
      <c r="H72" t="s">
        <v>116</v>
      </c>
      <c r="I72" t="s">
        <v>28</v>
      </c>
      <c r="J72" s="1">
        <v>30563</v>
      </c>
      <c r="K72" s="2">
        <f t="shared" ca="1" si="7"/>
        <v>43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s="1">
        <v>42781</v>
      </c>
      <c r="S72" s="2">
        <f t="shared" ca="1" si="8"/>
        <v>9.131506849315068</v>
      </c>
      <c r="T72" s="2" t="str">
        <f t="shared" ca="1" si="9"/>
        <v>6-10 Years</v>
      </c>
      <c r="U72" t="s">
        <v>34</v>
      </c>
      <c r="V72" t="s">
        <v>35</v>
      </c>
      <c r="W72" t="s">
        <v>44</v>
      </c>
      <c r="X72" t="s">
        <v>117</v>
      </c>
      <c r="Y72" t="s">
        <v>46</v>
      </c>
      <c r="Z72" t="s">
        <v>47</v>
      </c>
      <c r="AA72">
        <v>3.01</v>
      </c>
      <c r="AB72">
        <v>5</v>
      </c>
      <c r="AC72">
        <v>7</v>
      </c>
      <c r="AD72" s="1">
        <v>43488</v>
      </c>
      <c r="AE72">
        <v>0</v>
      </c>
      <c r="AF72">
        <v>15</v>
      </c>
    </row>
    <row r="73" spans="1:32" x14ac:dyDescent="0.3">
      <c r="A73" t="s">
        <v>238</v>
      </c>
      <c r="B73">
        <v>1</v>
      </c>
      <c r="C73">
        <v>5</v>
      </c>
      <c r="D73">
        <v>51259</v>
      </c>
      <c r="E73" t="str">
        <f t="shared" si="5"/>
        <v>Medium</v>
      </c>
      <c r="F73">
        <v>0</v>
      </c>
      <c r="G73" t="str">
        <f t="shared" si="6"/>
        <v>No</v>
      </c>
      <c r="H73" t="s">
        <v>27</v>
      </c>
      <c r="I73" t="s">
        <v>28</v>
      </c>
      <c r="J73" s="1">
        <v>30270</v>
      </c>
      <c r="K73" s="2">
        <f t="shared" ca="1" si="7"/>
        <v>44</v>
      </c>
      <c r="L73" t="s">
        <v>29</v>
      </c>
      <c r="M73" t="s">
        <v>30</v>
      </c>
      <c r="N73" t="s">
        <v>31</v>
      </c>
      <c r="O73" t="s">
        <v>32</v>
      </c>
      <c r="P73" t="s">
        <v>33</v>
      </c>
      <c r="Q73" s="1">
        <v>41771</v>
      </c>
      <c r="S73" s="2">
        <f t="shared" ca="1" si="8"/>
        <v>11.898630136986302</v>
      </c>
      <c r="T73" s="2" t="str">
        <f t="shared" ca="1" si="9"/>
        <v>10+ Years</v>
      </c>
      <c r="U73" t="s">
        <v>34</v>
      </c>
      <c r="V73" t="s">
        <v>35</v>
      </c>
      <c r="W73" t="s">
        <v>36</v>
      </c>
      <c r="X73" t="s">
        <v>62</v>
      </c>
      <c r="Y73" t="s">
        <v>46</v>
      </c>
      <c r="Z73" t="s">
        <v>47</v>
      </c>
      <c r="AA73">
        <v>4.3</v>
      </c>
      <c r="AB73">
        <v>4</v>
      </c>
      <c r="AC73">
        <v>0</v>
      </c>
      <c r="AD73" s="1">
        <v>43515</v>
      </c>
      <c r="AE73">
        <v>0</v>
      </c>
      <c r="AF73">
        <v>1</v>
      </c>
    </row>
    <row r="74" spans="1:32" x14ac:dyDescent="0.3">
      <c r="A74" t="s">
        <v>239</v>
      </c>
      <c r="B74">
        <v>1</v>
      </c>
      <c r="C74">
        <v>6</v>
      </c>
      <c r="D74">
        <v>59231</v>
      </c>
      <c r="E74" t="str">
        <f t="shared" si="5"/>
        <v>Medium</v>
      </c>
      <c r="F74">
        <v>0</v>
      </c>
      <c r="G74" t="str">
        <f t="shared" si="6"/>
        <v>No</v>
      </c>
      <c r="H74" t="s">
        <v>97</v>
      </c>
      <c r="I74" t="s">
        <v>118</v>
      </c>
      <c r="J74" s="1">
        <v>31911</v>
      </c>
      <c r="K74" s="2">
        <f t="shared" ca="1" si="7"/>
        <v>39</v>
      </c>
      <c r="L74" t="s">
        <v>49</v>
      </c>
      <c r="M74" t="s">
        <v>30</v>
      </c>
      <c r="N74" t="s">
        <v>31</v>
      </c>
      <c r="O74" t="s">
        <v>69</v>
      </c>
      <c r="P74" t="s">
        <v>33</v>
      </c>
      <c r="Q74" s="1">
        <v>40959</v>
      </c>
      <c r="S74" s="2">
        <f t="shared" ca="1" si="8"/>
        <v>14.123287671232877</v>
      </c>
      <c r="T74" s="2" t="str">
        <f t="shared" ca="1" si="9"/>
        <v>10+ Years</v>
      </c>
      <c r="U74" t="s">
        <v>34</v>
      </c>
      <c r="V74" t="s">
        <v>35</v>
      </c>
      <c r="W74" t="s">
        <v>99</v>
      </c>
      <c r="X74" t="s">
        <v>100</v>
      </c>
      <c r="Y74" t="s">
        <v>119</v>
      </c>
      <c r="Z74" t="s">
        <v>114</v>
      </c>
      <c r="AA74">
        <v>2.2999999999999998</v>
      </c>
      <c r="AB74">
        <v>1</v>
      </c>
      <c r="AC74">
        <v>0</v>
      </c>
      <c r="AD74" s="1">
        <v>43494</v>
      </c>
      <c r="AE74">
        <v>2</v>
      </c>
      <c r="AF74">
        <v>17</v>
      </c>
    </row>
    <row r="75" spans="1:32" x14ac:dyDescent="0.3">
      <c r="A75" t="s">
        <v>240</v>
      </c>
      <c r="B75">
        <v>1</v>
      </c>
      <c r="C75">
        <v>5</v>
      </c>
      <c r="D75">
        <v>61584</v>
      </c>
      <c r="E75" t="str">
        <f t="shared" si="5"/>
        <v>High</v>
      </c>
      <c r="F75">
        <v>0</v>
      </c>
      <c r="G75" t="str">
        <f t="shared" si="6"/>
        <v>No</v>
      </c>
      <c r="H75" t="s">
        <v>27</v>
      </c>
      <c r="I75" t="s">
        <v>28</v>
      </c>
      <c r="J75" s="1">
        <v>28826</v>
      </c>
      <c r="K75" s="2">
        <f t="shared" ca="1" si="7"/>
        <v>48</v>
      </c>
      <c r="L75" t="s">
        <v>49</v>
      </c>
      <c r="M75" t="s">
        <v>41</v>
      </c>
      <c r="N75" t="s">
        <v>31</v>
      </c>
      <c r="O75" t="s">
        <v>32</v>
      </c>
      <c r="P75" t="s">
        <v>64</v>
      </c>
      <c r="Q75" s="1">
        <v>41281</v>
      </c>
      <c r="S75" s="2">
        <f t="shared" ca="1" si="8"/>
        <v>13.241095890410959</v>
      </c>
      <c r="T75" s="2" t="str">
        <f t="shared" ca="1" si="9"/>
        <v>10+ Years</v>
      </c>
      <c r="U75" t="s">
        <v>34</v>
      </c>
      <c r="V75" t="s">
        <v>35</v>
      </c>
      <c r="W75" t="s">
        <v>36</v>
      </c>
      <c r="X75" t="s">
        <v>65</v>
      </c>
      <c r="Y75" t="s">
        <v>46</v>
      </c>
      <c r="Z75" t="s">
        <v>85</v>
      </c>
      <c r="AA75">
        <v>3.88</v>
      </c>
      <c r="AB75">
        <v>4</v>
      </c>
      <c r="AC75">
        <v>0</v>
      </c>
      <c r="AD75" s="1">
        <v>43483</v>
      </c>
      <c r="AE75">
        <v>0</v>
      </c>
      <c r="AF75">
        <v>6</v>
      </c>
    </row>
    <row r="76" spans="1:32" x14ac:dyDescent="0.3">
      <c r="A76" t="s">
        <v>241</v>
      </c>
      <c r="B76">
        <v>1</v>
      </c>
      <c r="C76">
        <v>5</v>
      </c>
      <c r="D76">
        <v>46335</v>
      </c>
      <c r="E76" t="str">
        <f t="shared" si="5"/>
        <v>Medium</v>
      </c>
      <c r="F76">
        <v>0</v>
      </c>
      <c r="G76" t="str">
        <f t="shared" si="6"/>
        <v>No</v>
      </c>
      <c r="H76" t="s">
        <v>27</v>
      </c>
      <c r="I76" t="s">
        <v>28</v>
      </c>
      <c r="J76" s="1">
        <v>31692</v>
      </c>
      <c r="K76" s="2">
        <f t="shared" ca="1" si="7"/>
        <v>40</v>
      </c>
      <c r="L76" t="s">
        <v>49</v>
      </c>
      <c r="M76" t="s">
        <v>30</v>
      </c>
      <c r="N76" t="s">
        <v>31</v>
      </c>
      <c r="O76" t="s">
        <v>69</v>
      </c>
      <c r="P76" t="s">
        <v>33</v>
      </c>
      <c r="Q76" s="1">
        <v>41001</v>
      </c>
      <c r="S76" s="2">
        <f t="shared" ca="1" si="8"/>
        <v>14.008219178082191</v>
      </c>
      <c r="T76" s="2" t="str">
        <f t="shared" ca="1" si="9"/>
        <v>10+ Years</v>
      </c>
      <c r="U76" t="s">
        <v>34</v>
      </c>
      <c r="V76" t="s">
        <v>35</v>
      </c>
      <c r="W76" t="s">
        <v>36</v>
      </c>
      <c r="X76" t="s">
        <v>71</v>
      </c>
      <c r="Y76" t="s">
        <v>84</v>
      </c>
      <c r="Z76" t="s">
        <v>47</v>
      </c>
      <c r="AA76">
        <v>3.4</v>
      </c>
      <c r="AB76">
        <v>5</v>
      </c>
      <c r="AC76">
        <v>0</v>
      </c>
      <c r="AD76" s="1">
        <v>43515</v>
      </c>
      <c r="AE76">
        <v>0</v>
      </c>
      <c r="AF76">
        <v>15</v>
      </c>
    </row>
    <row r="77" spans="1:32" x14ac:dyDescent="0.3">
      <c r="A77" t="s">
        <v>242</v>
      </c>
      <c r="B77">
        <v>1</v>
      </c>
      <c r="C77">
        <v>3</v>
      </c>
      <c r="D77">
        <v>70621</v>
      </c>
      <c r="E77" t="str">
        <f t="shared" si="5"/>
        <v>High</v>
      </c>
      <c r="F77">
        <v>0</v>
      </c>
      <c r="G77" t="str">
        <f t="shared" si="6"/>
        <v>No</v>
      </c>
      <c r="H77" t="s">
        <v>67</v>
      </c>
      <c r="I77" t="s">
        <v>28</v>
      </c>
      <c r="J77" s="1">
        <v>32342</v>
      </c>
      <c r="K77" s="2">
        <f t="shared" ca="1" si="7"/>
        <v>38</v>
      </c>
      <c r="L77" t="s">
        <v>49</v>
      </c>
      <c r="M77" t="s">
        <v>41</v>
      </c>
      <c r="N77" t="s">
        <v>31</v>
      </c>
      <c r="O77" t="s">
        <v>32</v>
      </c>
      <c r="P77" t="s">
        <v>33</v>
      </c>
      <c r="Q77" s="1">
        <v>42009</v>
      </c>
      <c r="S77" s="2">
        <f t="shared" ca="1" si="8"/>
        <v>11.246575342465754</v>
      </c>
      <c r="T77" s="2" t="str">
        <f t="shared" ca="1" si="9"/>
        <v>10+ Years</v>
      </c>
      <c r="U77" t="s">
        <v>34</v>
      </c>
      <c r="V77" t="s">
        <v>35</v>
      </c>
      <c r="W77" t="s">
        <v>44</v>
      </c>
      <c r="X77" t="s">
        <v>68</v>
      </c>
      <c r="Y77" t="s">
        <v>63</v>
      </c>
      <c r="Z77" t="s">
        <v>47</v>
      </c>
      <c r="AA77">
        <v>4.1100000000000003</v>
      </c>
      <c r="AB77">
        <v>4</v>
      </c>
      <c r="AC77">
        <v>6</v>
      </c>
      <c r="AD77" s="1">
        <v>43521</v>
      </c>
      <c r="AE77">
        <v>0</v>
      </c>
      <c r="AF77">
        <v>16</v>
      </c>
    </row>
    <row r="78" spans="1:32" x14ac:dyDescent="0.3">
      <c r="A78" t="s">
        <v>243</v>
      </c>
      <c r="B78">
        <v>1</v>
      </c>
      <c r="C78">
        <v>3</v>
      </c>
      <c r="D78">
        <v>138888</v>
      </c>
      <c r="E78" t="str">
        <f t="shared" si="5"/>
        <v>High</v>
      </c>
      <c r="F78">
        <v>0</v>
      </c>
      <c r="G78" t="str">
        <f t="shared" si="6"/>
        <v>No</v>
      </c>
      <c r="H78" t="s">
        <v>120</v>
      </c>
      <c r="I78" t="s">
        <v>28</v>
      </c>
      <c r="J78" s="1">
        <v>25758</v>
      </c>
      <c r="K78" s="2">
        <f t="shared" ca="1" si="7"/>
        <v>56</v>
      </c>
      <c r="L78" t="s">
        <v>29</v>
      </c>
      <c r="M78" t="s">
        <v>30</v>
      </c>
      <c r="N78" t="s">
        <v>31</v>
      </c>
      <c r="O78" t="s">
        <v>32</v>
      </c>
      <c r="P78" t="s">
        <v>64</v>
      </c>
      <c r="Q78" s="1">
        <v>41644</v>
      </c>
      <c r="S78" s="2">
        <f t="shared" ca="1" si="8"/>
        <v>12.246575342465754</v>
      </c>
      <c r="T78" s="2" t="str">
        <f t="shared" ca="1" si="9"/>
        <v>10+ Years</v>
      </c>
      <c r="U78" t="s">
        <v>34</v>
      </c>
      <c r="V78" t="s">
        <v>35</v>
      </c>
      <c r="W78" t="s">
        <v>44</v>
      </c>
      <c r="X78" t="s">
        <v>102</v>
      </c>
      <c r="Y78" t="s">
        <v>46</v>
      </c>
      <c r="Z78" t="s">
        <v>39</v>
      </c>
      <c r="AA78">
        <v>4.3</v>
      </c>
      <c r="AB78">
        <v>5</v>
      </c>
      <c r="AC78">
        <v>5</v>
      </c>
      <c r="AD78" s="1">
        <v>43469</v>
      </c>
      <c r="AE78">
        <v>0</v>
      </c>
      <c r="AF78">
        <v>4</v>
      </c>
    </row>
    <row r="79" spans="1:32" x14ac:dyDescent="0.3">
      <c r="A79" t="s">
        <v>244</v>
      </c>
      <c r="B79">
        <v>1</v>
      </c>
      <c r="C79">
        <v>6</v>
      </c>
      <c r="D79">
        <v>74241</v>
      </c>
      <c r="E79" t="str">
        <f t="shared" si="5"/>
        <v>High</v>
      </c>
      <c r="F79">
        <v>0</v>
      </c>
      <c r="G79" t="str">
        <f t="shared" si="6"/>
        <v>No</v>
      </c>
      <c r="H79" t="s">
        <v>97</v>
      </c>
      <c r="I79" t="s">
        <v>121</v>
      </c>
      <c r="J79" s="1">
        <v>32455</v>
      </c>
      <c r="K79" s="2">
        <f t="shared" ca="1" si="7"/>
        <v>38</v>
      </c>
      <c r="L79" t="s">
        <v>49</v>
      </c>
      <c r="M79" t="s">
        <v>30</v>
      </c>
      <c r="N79" t="s">
        <v>31</v>
      </c>
      <c r="O79" t="s">
        <v>32</v>
      </c>
      <c r="P79" t="s">
        <v>33</v>
      </c>
      <c r="Q79" s="1">
        <v>40553</v>
      </c>
      <c r="S79" s="2">
        <f t="shared" ca="1" si="8"/>
        <v>15.235616438356164</v>
      </c>
      <c r="T79" s="2" t="str">
        <f t="shared" ca="1" si="9"/>
        <v>10+ Years</v>
      </c>
      <c r="U79" t="s">
        <v>34</v>
      </c>
      <c r="V79" t="s">
        <v>35</v>
      </c>
      <c r="W79" t="s">
        <v>99</v>
      </c>
      <c r="X79" t="s">
        <v>105</v>
      </c>
      <c r="Y79" t="s">
        <v>46</v>
      </c>
      <c r="Z79" t="s">
        <v>39</v>
      </c>
      <c r="AA79">
        <v>4.7699999999999996</v>
      </c>
      <c r="AB79">
        <v>5</v>
      </c>
      <c r="AC79">
        <v>0</v>
      </c>
      <c r="AD79" s="1">
        <v>43492</v>
      </c>
      <c r="AE79">
        <v>0</v>
      </c>
      <c r="AF79">
        <v>14</v>
      </c>
    </row>
    <row r="80" spans="1:32" x14ac:dyDescent="0.3">
      <c r="A80" t="s">
        <v>245</v>
      </c>
      <c r="B80">
        <v>1</v>
      </c>
      <c r="C80">
        <v>5</v>
      </c>
      <c r="D80">
        <v>75188</v>
      </c>
      <c r="E80" t="str">
        <f t="shared" si="5"/>
        <v>High</v>
      </c>
      <c r="F80">
        <v>0</v>
      </c>
      <c r="G80" t="str">
        <f t="shared" si="6"/>
        <v>No</v>
      </c>
      <c r="H80" t="s">
        <v>92</v>
      </c>
      <c r="I80" t="s">
        <v>28</v>
      </c>
      <c r="J80" s="1">
        <v>26996</v>
      </c>
      <c r="K80" s="2">
        <f t="shared" ca="1" si="7"/>
        <v>53</v>
      </c>
      <c r="L80" t="s">
        <v>49</v>
      </c>
      <c r="M80" t="s">
        <v>30</v>
      </c>
      <c r="N80" t="s">
        <v>31</v>
      </c>
      <c r="O80" t="s">
        <v>32</v>
      </c>
      <c r="P80" t="s">
        <v>33</v>
      </c>
      <c r="Q80" s="1">
        <v>41900</v>
      </c>
      <c r="S80" s="2">
        <f t="shared" ca="1" si="8"/>
        <v>11.545205479452054</v>
      </c>
      <c r="T80" s="2" t="str">
        <f t="shared" ca="1" si="9"/>
        <v>10+ Years</v>
      </c>
      <c r="U80" t="s">
        <v>34</v>
      </c>
      <c r="V80" t="s">
        <v>35</v>
      </c>
      <c r="W80" t="s">
        <v>36</v>
      </c>
      <c r="X80" t="s">
        <v>94</v>
      </c>
      <c r="Y80" t="s">
        <v>56</v>
      </c>
      <c r="Z80" t="s">
        <v>47</v>
      </c>
      <c r="AA80">
        <v>4.5199999999999996</v>
      </c>
      <c r="AB80">
        <v>4</v>
      </c>
      <c r="AC80">
        <v>0</v>
      </c>
      <c r="AD80" s="1">
        <v>43480</v>
      </c>
      <c r="AE80">
        <v>0</v>
      </c>
      <c r="AF80">
        <v>4</v>
      </c>
    </row>
    <row r="81" spans="1:32" x14ac:dyDescent="0.3">
      <c r="A81" t="s">
        <v>246</v>
      </c>
      <c r="B81">
        <v>1</v>
      </c>
      <c r="C81">
        <v>5</v>
      </c>
      <c r="D81">
        <v>62514</v>
      </c>
      <c r="E81" t="str">
        <f t="shared" si="5"/>
        <v>High</v>
      </c>
      <c r="F81">
        <v>0</v>
      </c>
      <c r="G81" t="str">
        <f t="shared" si="6"/>
        <v>No</v>
      </c>
      <c r="H81" t="s">
        <v>27</v>
      </c>
      <c r="I81" t="s">
        <v>28</v>
      </c>
      <c r="J81" s="1">
        <v>26930</v>
      </c>
      <c r="K81" s="2">
        <f t="shared" ca="1" si="7"/>
        <v>53</v>
      </c>
      <c r="L81" t="s">
        <v>49</v>
      </c>
      <c r="M81" t="s">
        <v>41</v>
      </c>
      <c r="N81" t="s">
        <v>31</v>
      </c>
      <c r="O81" t="s">
        <v>32</v>
      </c>
      <c r="P81" t="s">
        <v>33</v>
      </c>
      <c r="Q81" s="1">
        <v>40294</v>
      </c>
      <c r="S81" s="2">
        <f t="shared" ca="1" si="8"/>
        <v>15.945205479452055</v>
      </c>
      <c r="T81" s="2" t="str">
        <f t="shared" ca="1" si="9"/>
        <v>10+ Years</v>
      </c>
      <c r="U81" t="s">
        <v>34</v>
      </c>
      <c r="V81" t="s">
        <v>35</v>
      </c>
      <c r="W81" t="s">
        <v>36</v>
      </c>
      <c r="X81" t="s">
        <v>62</v>
      </c>
      <c r="Y81" t="s">
        <v>56</v>
      </c>
      <c r="Z81" t="s">
        <v>47</v>
      </c>
      <c r="AA81">
        <v>2.9</v>
      </c>
      <c r="AB81">
        <v>3</v>
      </c>
      <c r="AC81">
        <v>0</v>
      </c>
      <c r="AD81" s="1">
        <v>43486</v>
      </c>
      <c r="AE81">
        <v>0</v>
      </c>
      <c r="AF81">
        <v>6</v>
      </c>
    </row>
    <row r="82" spans="1:32" x14ac:dyDescent="0.3">
      <c r="A82" t="s">
        <v>247</v>
      </c>
      <c r="B82">
        <v>5</v>
      </c>
      <c r="C82">
        <v>5</v>
      </c>
      <c r="D82">
        <v>60070</v>
      </c>
      <c r="E82" t="str">
        <f t="shared" si="5"/>
        <v>High</v>
      </c>
      <c r="F82">
        <v>1</v>
      </c>
      <c r="G82" t="str">
        <f t="shared" si="6"/>
        <v>Yes</v>
      </c>
      <c r="H82" t="s">
        <v>27</v>
      </c>
      <c r="I82" t="s">
        <v>28</v>
      </c>
      <c r="J82" s="1">
        <v>33486</v>
      </c>
      <c r="K82" s="2">
        <f t="shared" ca="1" si="7"/>
        <v>35</v>
      </c>
      <c r="L82" t="s">
        <v>49</v>
      </c>
      <c r="M82" t="s">
        <v>41</v>
      </c>
      <c r="N82" t="s">
        <v>31</v>
      </c>
      <c r="O82" t="s">
        <v>32</v>
      </c>
      <c r="P82" t="s">
        <v>33</v>
      </c>
      <c r="Q82" s="1">
        <v>40637</v>
      </c>
      <c r="R82" s="1">
        <v>42892</v>
      </c>
      <c r="S82" s="2">
        <f t="shared" ca="1" si="8"/>
        <v>6.1780821917808222</v>
      </c>
      <c r="T82" s="2" t="str">
        <f t="shared" ca="1" si="9"/>
        <v>6-10 Years</v>
      </c>
      <c r="U82" t="s">
        <v>122</v>
      </c>
      <c r="V82" t="s">
        <v>43</v>
      </c>
      <c r="W82" t="s">
        <v>36</v>
      </c>
      <c r="X82" t="s">
        <v>51</v>
      </c>
      <c r="Y82" t="s">
        <v>56</v>
      </c>
      <c r="Z82" t="s">
        <v>47</v>
      </c>
      <c r="AA82">
        <v>5</v>
      </c>
      <c r="AB82">
        <v>3</v>
      </c>
      <c r="AC82">
        <v>0</v>
      </c>
      <c r="AD82" s="1">
        <v>42834</v>
      </c>
      <c r="AE82">
        <v>0</v>
      </c>
      <c r="AF82">
        <v>7</v>
      </c>
    </row>
    <row r="83" spans="1:32" x14ac:dyDescent="0.3">
      <c r="A83" t="s">
        <v>248</v>
      </c>
      <c r="B83">
        <v>1</v>
      </c>
      <c r="C83">
        <v>5</v>
      </c>
      <c r="D83">
        <v>48888</v>
      </c>
      <c r="E83" t="str">
        <f t="shared" si="5"/>
        <v>Medium</v>
      </c>
      <c r="F83">
        <v>0</v>
      </c>
      <c r="G83" t="str">
        <f t="shared" si="6"/>
        <v>No</v>
      </c>
      <c r="H83" t="s">
        <v>27</v>
      </c>
      <c r="I83" t="s">
        <v>28</v>
      </c>
      <c r="J83" s="1">
        <v>27180</v>
      </c>
      <c r="K83" s="2">
        <f t="shared" ca="1" si="7"/>
        <v>52</v>
      </c>
      <c r="L83" t="s">
        <v>29</v>
      </c>
      <c r="M83" t="s">
        <v>30</v>
      </c>
      <c r="N83" t="s">
        <v>31</v>
      </c>
      <c r="O83" t="s">
        <v>32</v>
      </c>
      <c r="P83" t="s">
        <v>33</v>
      </c>
      <c r="Q83" s="1">
        <v>41953</v>
      </c>
      <c r="S83" s="2">
        <f t="shared" ca="1" si="8"/>
        <v>11.4</v>
      </c>
      <c r="T83" s="2" t="str">
        <f t="shared" ca="1" si="9"/>
        <v>10+ Years</v>
      </c>
      <c r="U83" t="s">
        <v>34</v>
      </c>
      <c r="V83" t="s">
        <v>35</v>
      </c>
      <c r="W83" t="s">
        <v>36</v>
      </c>
      <c r="X83" t="s">
        <v>76</v>
      </c>
      <c r="Y83" t="s">
        <v>38</v>
      </c>
      <c r="Z83" t="s">
        <v>47</v>
      </c>
      <c r="AA83">
        <v>4.7</v>
      </c>
      <c r="AB83">
        <v>5</v>
      </c>
      <c r="AC83">
        <v>0</v>
      </c>
      <c r="AD83" s="1">
        <v>43509</v>
      </c>
      <c r="AE83">
        <v>0</v>
      </c>
      <c r="AF83">
        <v>8</v>
      </c>
    </row>
    <row r="84" spans="1:32" x14ac:dyDescent="0.3">
      <c r="A84" t="s">
        <v>249</v>
      </c>
      <c r="B84">
        <v>1</v>
      </c>
      <c r="C84">
        <v>5</v>
      </c>
      <c r="D84">
        <v>54285</v>
      </c>
      <c r="E84" t="str">
        <f t="shared" si="5"/>
        <v>Medium</v>
      </c>
      <c r="F84">
        <v>0</v>
      </c>
      <c r="G84" t="str">
        <f t="shared" si="6"/>
        <v>No</v>
      </c>
      <c r="H84" t="s">
        <v>27</v>
      </c>
      <c r="I84" t="s">
        <v>28</v>
      </c>
      <c r="J84" s="1">
        <v>28727</v>
      </c>
      <c r="K84" s="2">
        <f t="shared" ca="1" si="7"/>
        <v>48</v>
      </c>
      <c r="L84" t="s">
        <v>29</v>
      </c>
      <c r="M84" t="s">
        <v>41</v>
      </c>
      <c r="N84" t="s">
        <v>31</v>
      </c>
      <c r="O84" t="s">
        <v>32</v>
      </c>
      <c r="P84" t="s">
        <v>33</v>
      </c>
      <c r="Q84" s="1">
        <v>41729</v>
      </c>
      <c r="S84" s="2">
        <f t="shared" ca="1" si="8"/>
        <v>12.013698630136986</v>
      </c>
      <c r="T84" s="2" t="str">
        <f t="shared" ca="1" si="9"/>
        <v>10+ Years</v>
      </c>
      <c r="U84" t="s">
        <v>34</v>
      </c>
      <c r="V84" t="s">
        <v>35</v>
      </c>
      <c r="W84" t="s">
        <v>36</v>
      </c>
      <c r="X84" t="s">
        <v>76</v>
      </c>
      <c r="Y84" t="s">
        <v>63</v>
      </c>
      <c r="Z84" t="s">
        <v>47</v>
      </c>
      <c r="AA84">
        <v>4.2</v>
      </c>
      <c r="AB84">
        <v>3</v>
      </c>
      <c r="AC84">
        <v>0</v>
      </c>
      <c r="AD84" s="1">
        <v>43476</v>
      </c>
      <c r="AE84">
        <v>0</v>
      </c>
      <c r="AF84">
        <v>3</v>
      </c>
    </row>
    <row r="85" spans="1:32" x14ac:dyDescent="0.3">
      <c r="A85" t="s">
        <v>250</v>
      </c>
      <c r="B85">
        <v>1</v>
      </c>
      <c r="C85">
        <v>5</v>
      </c>
      <c r="D85">
        <v>56847</v>
      </c>
      <c r="E85" t="str">
        <f t="shared" si="5"/>
        <v>Medium</v>
      </c>
      <c r="F85">
        <v>0</v>
      </c>
      <c r="G85" t="str">
        <f t="shared" si="6"/>
        <v>No</v>
      </c>
      <c r="H85" t="s">
        <v>48</v>
      </c>
      <c r="I85" t="s">
        <v>28</v>
      </c>
      <c r="J85" s="1">
        <v>32745</v>
      </c>
      <c r="K85" s="2">
        <f t="shared" ca="1" si="7"/>
        <v>37</v>
      </c>
      <c r="L85" t="s">
        <v>49</v>
      </c>
      <c r="M85" t="s">
        <v>96</v>
      </c>
      <c r="N85" t="s">
        <v>31</v>
      </c>
      <c r="O85" t="s">
        <v>32</v>
      </c>
      <c r="P85" t="s">
        <v>33</v>
      </c>
      <c r="Q85" s="1">
        <v>41827</v>
      </c>
      <c r="S85" s="2">
        <f t="shared" ca="1" si="8"/>
        <v>11.745205479452055</v>
      </c>
      <c r="T85" s="2" t="str">
        <f t="shared" ca="1" si="9"/>
        <v>10+ Years</v>
      </c>
      <c r="U85" t="s">
        <v>34</v>
      </c>
      <c r="V85" t="s">
        <v>35</v>
      </c>
      <c r="W85" t="s">
        <v>36</v>
      </c>
      <c r="X85" t="s">
        <v>37</v>
      </c>
      <c r="Y85" t="s">
        <v>46</v>
      </c>
      <c r="Z85" t="s">
        <v>114</v>
      </c>
      <c r="AA85">
        <v>3</v>
      </c>
      <c r="AB85">
        <v>1</v>
      </c>
      <c r="AC85">
        <v>0</v>
      </c>
      <c r="AD85" s="1">
        <v>43521</v>
      </c>
      <c r="AE85">
        <v>2</v>
      </c>
      <c r="AF85">
        <v>5</v>
      </c>
    </row>
    <row r="86" spans="1:32" x14ac:dyDescent="0.3">
      <c r="A86" t="s">
        <v>251</v>
      </c>
      <c r="B86">
        <v>4</v>
      </c>
      <c r="C86">
        <v>5</v>
      </c>
      <c r="D86">
        <v>60340</v>
      </c>
      <c r="E86" t="str">
        <f t="shared" si="5"/>
        <v>High</v>
      </c>
      <c r="F86">
        <v>1</v>
      </c>
      <c r="G86" t="str">
        <f t="shared" si="6"/>
        <v>Yes</v>
      </c>
      <c r="H86" t="s">
        <v>27</v>
      </c>
      <c r="I86" t="s">
        <v>28</v>
      </c>
      <c r="J86" s="1">
        <v>30561</v>
      </c>
      <c r="K86" s="2">
        <f t="shared" ca="1" si="7"/>
        <v>43</v>
      </c>
      <c r="L86" t="s">
        <v>29</v>
      </c>
      <c r="M86" t="s">
        <v>30</v>
      </c>
      <c r="N86" t="s">
        <v>31</v>
      </c>
      <c r="O86" t="s">
        <v>32</v>
      </c>
      <c r="P86" t="s">
        <v>33</v>
      </c>
      <c r="Q86" s="1">
        <v>41001</v>
      </c>
      <c r="R86" s="1">
        <v>43370</v>
      </c>
      <c r="S86" s="2">
        <f t="shared" ca="1" si="8"/>
        <v>6.4904109589041097</v>
      </c>
      <c r="T86" s="2" t="str">
        <f t="shared" ca="1" si="9"/>
        <v>6-10 Years</v>
      </c>
      <c r="U86" t="s">
        <v>78</v>
      </c>
      <c r="V86" t="s">
        <v>79</v>
      </c>
      <c r="W86" t="s">
        <v>36</v>
      </c>
      <c r="X86" t="s">
        <v>37</v>
      </c>
      <c r="Y86" t="s">
        <v>56</v>
      </c>
      <c r="Z86" t="s">
        <v>85</v>
      </c>
      <c r="AA86">
        <v>5</v>
      </c>
      <c r="AB86">
        <v>4</v>
      </c>
      <c r="AC86">
        <v>0</v>
      </c>
      <c r="AD86" s="1">
        <v>43202</v>
      </c>
      <c r="AE86">
        <v>5</v>
      </c>
      <c r="AF86">
        <v>16</v>
      </c>
    </row>
    <row r="87" spans="1:32" x14ac:dyDescent="0.3">
      <c r="A87" t="s">
        <v>252</v>
      </c>
      <c r="B87">
        <v>4</v>
      </c>
      <c r="C87">
        <v>5</v>
      </c>
      <c r="D87">
        <v>59124</v>
      </c>
      <c r="E87" t="str">
        <f t="shared" si="5"/>
        <v>Medium</v>
      </c>
      <c r="F87">
        <v>1</v>
      </c>
      <c r="G87" t="str">
        <f t="shared" si="6"/>
        <v>Yes</v>
      </c>
      <c r="H87" t="s">
        <v>27</v>
      </c>
      <c r="I87" t="s">
        <v>28</v>
      </c>
      <c r="J87" s="1">
        <v>32634</v>
      </c>
      <c r="K87" s="2">
        <f t="shared" ca="1" si="7"/>
        <v>37</v>
      </c>
      <c r="L87" t="s">
        <v>49</v>
      </c>
      <c r="M87" t="s">
        <v>30</v>
      </c>
      <c r="N87" t="s">
        <v>31</v>
      </c>
      <c r="O87" t="s">
        <v>32</v>
      </c>
      <c r="P87" t="s">
        <v>33</v>
      </c>
      <c r="Q87" s="1">
        <v>41687</v>
      </c>
      <c r="R87" s="1">
        <v>43156</v>
      </c>
      <c r="S87" s="2">
        <f t="shared" ca="1" si="8"/>
        <v>4.0246575342465754</v>
      </c>
      <c r="T87" s="2" t="str">
        <f t="shared" ca="1" si="9"/>
        <v>3-5 Years</v>
      </c>
      <c r="U87" t="s">
        <v>123</v>
      </c>
      <c r="V87" t="s">
        <v>79</v>
      </c>
      <c r="W87" t="s">
        <v>36</v>
      </c>
      <c r="X87" t="s">
        <v>52</v>
      </c>
      <c r="Y87" t="s">
        <v>56</v>
      </c>
      <c r="Z87" t="s">
        <v>85</v>
      </c>
      <c r="AA87">
        <v>2.2999999999999998</v>
      </c>
      <c r="AB87">
        <v>3</v>
      </c>
      <c r="AC87">
        <v>0</v>
      </c>
      <c r="AD87" s="1">
        <v>42750</v>
      </c>
      <c r="AE87">
        <v>5</v>
      </c>
      <c r="AF87">
        <v>19</v>
      </c>
    </row>
    <row r="88" spans="1:32" x14ac:dyDescent="0.3">
      <c r="A88" t="s">
        <v>253</v>
      </c>
      <c r="B88">
        <v>4</v>
      </c>
      <c r="C88">
        <v>4</v>
      </c>
      <c r="D88">
        <v>99280</v>
      </c>
      <c r="E88" t="str">
        <f t="shared" si="5"/>
        <v>High</v>
      </c>
      <c r="F88">
        <v>1</v>
      </c>
      <c r="G88" t="str">
        <f t="shared" si="6"/>
        <v>Yes</v>
      </c>
      <c r="H88" t="s">
        <v>58</v>
      </c>
      <c r="I88" t="s">
        <v>28</v>
      </c>
      <c r="J88" s="1">
        <v>31912</v>
      </c>
      <c r="K88" s="2">
        <f t="shared" ca="1" si="7"/>
        <v>39</v>
      </c>
      <c r="L88" t="s">
        <v>49</v>
      </c>
      <c r="M88" t="s">
        <v>41</v>
      </c>
      <c r="N88" t="s">
        <v>31</v>
      </c>
      <c r="O88" t="s">
        <v>32</v>
      </c>
      <c r="P88" t="s">
        <v>64</v>
      </c>
      <c r="Q88" s="1">
        <v>40665</v>
      </c>
      <c r="R88" s="1">
        <v>41430</v>
      </c>
      <c r="S88" s="2">
        <f t="shared" ca="1" si="8"/>
        <v>2.095890410958904</v>
      </c>
      <c r="T88" s="2" t="str">
        <f t="shared" ca="1" si="9"/>
        <v>3-5 Years</v>
      </c>
      <c r="U88" t="s">
        <v>78</v>
      </c>
      <c r="V88" t="s">
        <v>79</v>
      </c>
      <c r="W88" t="s">
        <v>59</v>
      </c>
      <c r="X88" t="s">
        <v>60</v>
      </c>
      <c r="Y88" t="s">
        <v>46</v>
      </c>
      <c r="Z88" t="s">
        <v>85</v>
      </c>
      <c r="AA88">
        <v>2.1</v>
      </c>
      <c r="AB88">
        <v>5</v>
      </c>
      <c r="AC88">
        <v>4</v>
      </c>
      <c r="AD88" s="1">
        <v>41131</v>
      </c>
      <c r="AE88">
        <v>4</v>
      </c>
      <c r="AF88">
        <v>19</v>
      </c>
    </row>
    <row r="89" spans="1:32" x14ac:dyDescent="0.3">
      <c r="A89" t="s">
        <v>254</v>
      </c>
      <c r="B89">
        <v>1</v>
      </c>
      <c r="C89">
        <v>5</v>
      </c>
      <c r="D89">
        <v>71776</v>
      </c>
      <c r="E89" t="str">
        <f t="shared" si="5"/>
        <v>High</v>
      </c>
      <c r="F89">
        <v>0</v>
      </c>
      <c r="G89" t="str">
        <f t="shared" si="6"/>
        <v>No</v>
      </c>
      <c r="H89" t="s">
        <v>48</v>
      </c>
      <c r="I89" t="s">
        <v>28</v>
      </c>
      <c r="J89" s="1">
        <v>28755</v>
      </c>
      <c r="K89" s="2">
        <f t="shared" ca="1" si="7"/>
        <v>48</v>
      </c>
      <c r="L89" t="s">
        <v>49</v>
      </c>
      <c r="M89" t="s">
        <v>41</v>
      </c>
      <c r="N89" t="s">
        <v>31</v>
      </c>
      <c r="O89" t="s">
        <v>32</v>
      </c>
      <c r="P89" t="s">
        <v>64</v>
      </c>
      <c r="Q89" s="1">
        <v>41827</v>
      </c>
      <c r="S89" s="2">
        <f t="shared" ca="1" si="8"/>
        <v>11.745205479452055</v>
      </c>
      <c r="T89" s="2" t="str">
        <f t="shared" ca="1" si="9"/>
        <v>10+ Years</v>
      </c>
      <c r="U89" t="s">
        <v>34</v>
      </c>
      <c r="V89" t="s">
        <v>35</v>
      </c>
      <c r="W89" t="s">
        <v>36</v>
      </c>
      <c r="X89" t="s">
        <v>52</v>
      </c>
      <c r="Y89" t="s">
        <v>38</v>
      </c>
      <c r="Z89" t="s">
        <v>47</v>
      </c>
      <c r="AA89">
        <v>4.4000000000000004</v>
      </c>
      <c r="AB89">
        <v>5</v>
      </c>
      <c r="AC89">
        <v>0</v>
      </c>
      <c r="AD89" s="1">
        <v>43518</v>
      </c>
      <c r="AE89">
        <v>0</v>
      </c>
      <c r="AF89">
        <v>17</v>
      </c>
    </row>
    <row r="90" spans="1:32" x14ac:dyDescent="0.3">
      <c r="A90" t="s">
        <v>255</v>
      </c>
      <c r="B90">
        <v>1</v>
      </c>
      <c r="C90">
        <v>5</v>
      </c>
      <c r="D90">
        <v>65902</v>
      </c>
      <c r="E90" t="str">
        <f t="shared" si="5"/>
        <v>High</v>
      </c>
      <c r="F90">
        <v>0</v>
      </c>
      <c r="G90" t="str">
        <f t="shared" si="6"/>
        <v>No</v>
      </c>
      <c r="H90" t="s">
        <v>48</v>
      </c>
      <c r="I90" t="s">
        <v>28</v>
      </c>
      <c r="J90" s="1">
        <v>32047</v>
      </c>
      <c r="K90" s="2">
        <f t="shared" ca="1" si="7"/>
        <v>39</v>
      </c>
      <c r="L90" t="s">
        <v>49</v>
      </c>
      <c r="M90" t="s">
        <v>30</v>
      </c>
      <c r="N90" t="s">
        <v>31</v>
      </c>
      <c r="O90" t="s">
        <v>32</v>
      </c>
      <c r="P90" t="s">
        <v>64</v>
      </c>
      <c r="Q90" s="1">
        <v>41687</v>
      </c>
      <c r="S90" s="2">
        <f t="shared" ca="1" si="8"/>
        <v>12.128767123287671</v>
      </c>
      <c r="T90" s="2" t="str">
        <f t="shared" ca="1" si="9"/>
        <v>10+ Years</v>
      </c>
      <c r="U90" t="s">
        <v>34</v>
      </c>
      <c r="V90" t="s">
        <v>35</v>
      </c>
      <c r="W90" t="s">
        <v>36</v>
      </c>
      <c r="X90" t="s">
        <v>55</v>
      </c>
      <c r="Y90" t="s">
        <v>38</v>
      </c>
      <c r="Z90" t="s">
        <v>47</v>
      </c>
      <c r="AA90">
        <v>4</v>
      </c>
      <c r="AB90">
        <v>4</v>
      </c>
      <c r="AC90">
        <v>0</v>
      </c>
      <c r="AD90" s="1">
        <v>43472</v>
      </c>
      <c r="AE90">
        <v>0</v>
      </c>
      <c r="AF90">
        <v>7</v>
      </c>
    </row>
    <row r="91" spans="1:32" x14ac:dyDescent="0.3">
      <c r="A91" t="s">
        <v>256</v>
      </c>
      <c r="B91">
        <v>5</v>
      </c>
      <c r="C91">
        <v>5</v>
      </c>
      <c r="D91">
        <v>57748</v>
      </c>
      <c r="E91" t="str">
        <f t="shared" si="5"/>
        <v>Medium</v>
      </c>
      <c r="F91">
        <v>1</v>
      </c>
      <c r="G91" t="str">
        <f t="shared" si="6"/>
        <v>Yes</v>
      </c>
      <c r="H91" t="s">
        <v>27</v>
      </c>
      <c r="I91" t="s">
        <v>28</v>
      </c>
      <c r="J91" s="1">
        <v>20193</v>
      </c>
      <c r="K91" s="2">
        <f t="shared" ca="1" si="7"/>
        <v>71</v>
      </c>
      <c r="L91" t="s">
        <v>49</v>
      </c>
      <c r="M91" t="s">
        <v>41</v>
      </c>
      <c r="N91" t="s">
        <v>31</v>
      </c>
      <c r="O91" t="s">
        <v>32</v>
      </c>
      <c r="P91" t="s">
        <v>33</v>
      </c>
      <c r="Q91" s="1">
        <v>40854</v>
      </c>
      <c r="R91" s="1">
        <v>42507</v>
      </c>
      <c r="S91" s="2">
        <f t="shared" ca="1" si="8"/>
        <v>4.5287671232876709</v>
      </c>
      <c r="T91" s="2" t="str">
        <f t="shared" ca="1" si="9"/>
        <v>3-5 Years</v>
      </c>
      <c r="U91" t="s">
        <v>122</v>
      </c>
      <c r="V91" t="s">
        <v>43</v>
      </c>
      <c r="W91" t="s">
        <v>36</v>
      </c>
      <c r="X91" t="s">
        <v>55</v>
      </c>
      <c r="Y91" t="s">
        <v>56</v>
      </c>
      <c r="Z91" t="s">
        <v>47</v>
      </c>
      <c r="AA91">
        <v>3.13</v>
      </c>
      <c r="AB91">
        <v>3</v>
      </c>
      <c r="AC91">
        <v>0</v>
      </c>
      <c r="AD91" s="1">
        <v>42404</v>
      </c>
      <c r="AE91">
        <v>0</v>
      </c>
      <c r="AF91">
        <v>16</v>
      </c>
    </row>
    <row r="92" spans="1:32" x14ac:dyDescent="0.3">
      <c r="A92" t="s">
        <v>257</v>
      </c>
      <c r="B92">
        <v>1</v>
      </c>
      <c r="C92">
        <v>5</v>
      </c>
      <c r="D92">
        <v>64057</v>
      </c>
      <c r="E92" t="str">
        <f t="shared" si="5"/>
        <v>High</v>
      </c>
      <c r="F92">
        <v>0</v>
      </c>
      <c r="G92" t="str">
        <f t="shared" si="6"/>
        <v>No</v>
      </c>
      <c r="H92" t="s">
        <v>27</v>
      </c>
      <c r="I92" t="s">
        <v>28</v>
      </c>
      <c r="J92" s="1">
        <v>32799</v>
      </c>
      <c r="K92" s="2">
        <f t="shared" ca="1" si="7"/>
        <v>37</v>
      </c>
      <c r="L92" t="s">
        <v>29</v>
      </c>
      <c r="M92" t="s">
        <v>41</v>
      </c>
      <c r="N92" t="s">
        <v>31</v>
      </c>
      <c r="O92" t="s">
        <v>32</v>
      </c>
      <c r="P92" t="s">
        <v>33</v>
      </c>
      <c r="Q92" s="1">
        <v>42135</v>
      </c>
      <c r="S92" s="2">
        <f t="shared" ca="1" si="8"/>
        <v>10.901369863013699</v>
      </c>
      <c r="T92" s="2" t="str">
        <f t="shared" ca="1" si="9"/>
        <v>10+ Years</v>
      </c>
      <c r="U92" t="s">
        <v>34</v>
      </c>
      <c r="V92" t="s">
        <v>35</v>
      </c>
      <c r="W92" t="s">
        <v>36</v>
      </c>
      <c r="X92" t="s">
        <v>57</v>
      </c>
      <c r="Y92" t="s">
        <v>46</v>
      </c>
      <c r="Z92" t="s">
        <v>114</v>
      </c>
      <c r="AA92">
        <v>1.56</v>
      </c>
      <c r="AB92">
        <v>5</v>
      </c>
      <c r="AC92">
        <v>0</v>
      </c>
      <c r="AD92" s="1">
        <v>43468</v>
      </c>
      <c r="AE92">
        <v>6</v>
      </c>
      <c r="AF92">
        <v>15</v>
      </c>
    </row>
    <row r="93" spans="1:32" x14ac:dyDescent="0.3">
      <c r="A93" t="s">
        <v>258</v>
      </c>
      <c r="B93">
        <v>1</v>
      </c>
      <c r="C93">
        <v>3</v>
      </c>
      <c r="D93">
        <v>53366</v>
      </c>
      <c r="E93" t="str">
        <f t="shared" si="5"/>
        <v>Medium</v>
      </c>
      <c r="F93">
        <v>0</v>
      </c>
      <c r="G93" t="str">
        <f t="shared" si="6"/>
        <v>No</v>
      </c>
      <c r="H93" t="s">
        <v>124</v>
      </c>
      <c r="I93" t="s">
        <v>28</v>
      </c>
      <c r="J93" s="1">
        <v>31946</v>
      </c>
      <c r="K93" s="2">
        <f t="shared" ca="1" si="7"/>
        <v>39</v>
      </c>
      <c r="L93" t="s">
        <v>29</v>
      </c>
      <c r="M93" t="s">
        <v>30</v>
      </c>
      <c r="N93" t="s">
        <v>31</v>
      </c>
      <c r="O93" t="s">
        <v>32</v>
      </c>
      <c r="P93" t="s">
        <v>33</v>
      </c>
      <c r="Q93" s="1">
        <v>42093</v>
      </c>
      <c r="S93" s="2">
        <f t="shared" ca="1" si="8"/>
        <v>11.016438356164384</v>
      </c>
      <c r="T93" s="2" t="str">
        <f t="shared" ca="1" si="9"/>
        <v>10+ Years</v>
      </c>
      <c r="U93" t="s">
        <v>34</v>
      </c>
      <c r="V93" t="s">
        <v>35</v>
      </c>
      <c r="W93" t="s">
        <v>44</v>
      </c>
      <c r="X93" t="s">
        <v>68</v>
      </c>
      <c r="Y93" t="s">
        <v>38</v>
      </c>
      <c r="Z93" t="s">
        <v>114</v>
      </c>
      <c r="AA93">
        <v>1.2</v>
      </c>
      <c r="AB93">
        <v>3</v>
      </c>
      <c r="AC93">
        <v>6</v>
      </c>
      <c r="AD93" s="1">
        <v>43500</v>
      </c>
      <c r="AE93">
        <v>3</v>
      </c>
      <c r="AF93">
        <v>2</v>
      </c>
    </row>
    <row r="94" spans="1:32" x14ac:dyDescent="0.3">
      <c r="A94" t="s">
        <v>259</v>
      </c>
      <c r="B94">
        <v>1</v>
      </c>
      <c r="C94">
        <v>5</v>
      </c>
      <c r="D94">
        <v>58530</v>
      </c>
      <c r="E94" t="str">
        <f t="shared" si="5"/>
        <v>Medium</v>
      </c>
      <c r="F94">
        <v>0</v>
      </c>
      <c r="G94" t="str">
        <f t="shared" si="6"/>
        <v>No</v>
      </c>
      <c r="H94" t="s">
        <v>27</v>
      </c>
      <c r="I94" t="s">
        <v>28</v>
      </c>
      <c r="J94" s="1">
        <v>29661</v>
      </c>
      <c r="K94" s="2">
        <f t="shared" ca="1" si="7"/>
        <v>45</v>
      </c>
      <c r="L94" t="s">
        <v>49</v>
      </c>
      <c r="M94" t="s">
        <v>41</v>
      </c>
      <c r="N94" t="s">
        <v>31</v>
      </c>
      <c r="O94" t="s">
        <v>32</v>
      </c>
      <c r="P94" t="s">
        <v>33</v>
      </c>
      <c r="Q94" s="1">
        <v>40917</v>
      </c>
      <c r="S94" s="2">
        <f t="shared" ca="1" si="8"/>
        <v>14.238356164383562</v>
      </c>
      <c r="T94" s="2" t="str">
        <f t="shared" ca="1" si="9"/>
        <v>10+ Years</v>
      </c>
      <c r="U94" t="s">
        <v>34</v>
      </c>
      <c r="V94" t="s">
        <v>35</v>
      </c>
      <c r="W94" t="s">
        <v>36</v>
      </c>
      <c r="X94" t="s">
        <v>65</v>
      </c>
      <c r="Y94" t="s">
        <v>56</v>
      </c>
      <c r="Z94" t="s">
        <v>47</v>
      </c>
      <c r="AA94">
        <v>5</v>
      </c>
      <c r="AB94">
        <v>5</v>
      </c>
      <c r="AC94">
        <v>0</v>
      </c>
      <c r="AD94" s="1">
        <v>43494</v>
      </c>
      <c r="AE94">
        <v>0</v>
      </c>
      <c r="AF94">
        <v>19</v>
      </c>
    </row>
    <row r="95" spans="1:32" x14ac:dyDescent="0.3">
      <c r="A95" t="s">
        <v>260</v>
      </c>
      <c r="B95">
        <v>5</v>
      </c>
      <c r="C95">
        <v>5</v>
      </c>
      <c r="D95">
        <v>72609</v>
      </c>
      <c r="E95" t="str">
        <f t="shared" si="5"/>
        <v>High</v>
      </c>
      <c r="F95">
        <v>1</v>
      </c>
      <c r="G95" t="str">
        <f t="shared" si="6"/>
        <v>Yes</v>
      </c>
      <c r="H95" t="s">
        <v>48</v>
      </c>
      <c r="I95" t="s">
        <v>28</v>
      </c>
      <c r="J95" s="1">
        <v>29860</v>
      </c>
      <c r="K95" s="2">
        <f t="shared" ca="1" si="7"/>
        <v>45</v>
      </c>
      <c r="L95" t="s">
        <v>29</v>
      </c>
      <c r="M95" t="s">
        <v>30</v>
      </c>
      <c r="N95" t="s">
        <v>31</v>
      </c>
      <c r="O95" t="s">
        <v>69</v>
      </c>
      <c r="P95" t="s">
        <v>33</v>
      </c>
      <c r="Q95" s="1">
        <v>40679</v>
      </c>
      <c r="R95" s="1">
        <v>41449</v>
      </c>
      <c r="S95" s="2">
        <f t="shared" ca="1" si="8"/>
        <v>2.1095890410958904</v>
      </c>
      <c r="T95" s="2" t="str">
        <f t="shared" ca="1" si="9"/>
        <v>3-5 Years</v>
      </c>
      <c r="U95" t="s">
        <v>50</v>
      </c>
      <c r="V95" t="s">
        <v>43</v>
      </c>
      <c r="W95" t="s">
        <v>36</v>
      </c>
      <c r="X95" t="s">
        <v>57</v>
      </c>
      <c r="Y95" t="s">
        <v>56</v>
      </c>
      <c r="Z95" t="s">
        <v>47</v>
      </c>
      <c r="AA95">
        <v>4.76</v>
      </c>
      <c r="AB95">
        <v>5</v>
      </c>
      <c r="AC95">
        <v>0</v>
      </c>
      <c r="AD95" s="1">
        <v>41369</v>
      </c>
      <c r="AE95">
        <v>0</v>
      </c>
      <c r="AF95">
        <v>20</v>
      </c>
    </row>
    <row r="96" spans="1:32" x14ac:dyDescent="0.3">
      <c r="A96" t="s">
        <v>261</v>
      </c>
      <c r="B96">
        <v>5</v>
      </c>
      <c r="C96">
        <v>5</v>
      </c>
      <c r="D96">
        <v>55965</v>
      </c>
      <c r="E96" t="str">
        <f t="shared" si="5"/>
        <v>Medium</v>
      </c>
      <c r="F96">
        <v>1</v>
      </c>
      <c r="G96" t="str">
        <f t="shared" si="6"/>
        <v>Yes</v>
      </c>
      <c r="H96" t="s">
        <v>48</v>
      </c>
      <c r="I96" t="s">
        <v>28</v>
      </c>
      <c r="J96" s="1">
        <v>30628</v>
      </c>
      <c r="K96" s="2">
        <f t="shared" ca="1" si="7"/>
        <v>43</v>
      </c>
      <c r="L96" t="s">
        <v>49</v>
      </c>
      <c r="M96" t="s">
        <v>41</v>
      </c>
      <c r="N96" t="s">
        <v>31</v>
      </c>
      <c r="O96" t="s">
        <v>32</v>
      </c>
      <c r="P96" t="s">
        <v>33</v>
      </c>
      <c r="Q96" s="1">
        <v>40637</v>
      </c>
      <c r="R96" s="1">
        <v>41283</v>
      </c>
      <c r="S96" s="2">
        <f t="shared" ca="1" si="8"/>
        <v>1.7698630136986302</v>
      </c>
      <c r="T96" s="2" t="str">
        <f t="shared" ca="1" si="9"/>
        <v>0-2 Years</v>
      </c>
      <c r="U96" t="s">
        <v>42</v>
      </c>
      <c r="V96" t="s">
        <v>43</v>
      </c>
      <c r="W96" t="s">
        <v>36</v>
      </c>
      <c r="X96" t="s">
        <v>62</v>
      </c>
      <c r="Y96" t="s">
        <v>56</v>
      </c>
      <c r="Z96" t="s">
        <v>47</v>
      </c>
      <c r="AA96">
        <v>3.66</v>
      </c>
      <c r="AB96">
        <v>3</v>
      </c>
      <c r="AC96">
        <v>0</v>
      </c>
      <c r="AD96" s="1">
        <v>40915</v>
      </c>
      <c r="AE96">
        <v>0</v>
      </c>
      <c r="AF96">
        <v>6</v>
      </c>
    </row>
    <row r="97" spans="1:32" x14ac:dyDescent="0.3">
      <c r="A97" t="s">
        <v>262</v>
      </c>
      <c r="B97">
        <v>1</v>
      </c>
      <c r="C97">
        <v>6</v>
      </c>
      <c r="D97">
        <v>70187</v>
      </c>
      <c r="E97" t="str">
        <f t="shared" si="5"/>
        <v>High</v>
      </c>
      <c r="F97">
        <v>1</v>
      </c>
      <c r="G97" t="str">
        <f t="shared" si="6"/>
        <v>Yes</v>
      </c>
      <c r="H97" t="s">
        <v>97</v>
      </c>
      <c r="I97" t="s">
        <v>28</v>
      </c>
      <c r="J97" s="1">
        <v>27582</v>
      </c>
      <c r="K97" s="2">
        <f t="shared" ca="1" si="7"/>
        <v>51</v>
      </c>
      <c r="L97" t="s">
        <v>29</v>
      </c>
      <c r="M97" t="s">
        <v>41</v>
      </c>
      <c r="N97" t="s">
        <v>31</v>
      </c>
      <c r="O97" t="s">
        <v>32</v>
      </c>
      <c r="P97" t="s">
        <v>33</v>
      </c>
      <c r="Q97" s="1">
        <v>41911</v>
      </c>
      <c r="R97" s="1">
        <v>43331</v>
      </c>
      <c r="S97" s="2">
        <f t="shared" ca="1" si="8"/>
        <v>3.8904109589041096</v>
      </c>
      <c r="T97" s="2" t="str">
        <f t="shared" ca="1" si="9"/>
        <v>3-5 Years</v>
      </c>
      <c r="U97" t="s">
        <v>125</v>
      </c>
      <c r="V97" t="s">
        <v>79</v>
      </c>
      <c r="W97" t="s">
        <v>99</v>
      </c>
      <c r="X97" t="s">
        <v>105</v>
      </c>
      <c r="Y97" t="s">
        <v>63</v>
      </c>
      <c r="Z97" t="s">
        <v>114</v>
      </c>
      <c r="AA97">
        <v>2</v>
      </c>
      <c r="AB97">
        <v>5</v>
      </c>
      <c r="AC97">
        <v>0</v>
      </c>
      <c r="AD97" s="1">
        <v>43493</v>
      </c>
      <c r="AE97">
        <v>4</v>
      </c>
      <c r="AF97">
        <v>7</v>
      </c>
    </row>
    <row r="98" spans="1:32" x14ac:dyDescent="0.3">
      <c r="A98" t="s">
        <v>263</v>
      </c>
      <c r="B98">
        <v>1</v>
      </c>
      <c r="C98">
        <v>3</v>
      </c>
      <c r="D98">
        <v>178000</v>
      </c>
      <c r="E98" t="str">
        <f t="shared" si="5"/>
        <v>High</v>
      </c>
      <c r="F98">
        <v>0</v>
      </c>
      <c r="G98" t="str">
        <f t="shared" si="6"/>
        <v>No</v>
      </c>
      <c r="H98" t="s">
        <v>126</v>
      </c>
      <c r="I98" t="s">
        <v>28</v>
      </c>
      <c r="J98" s="1">
        <v>29407</v>
      </c>
      <c r="K98" s="2">
        <f t="shared" ca="1" si="7"/>
        <v>46</v>
      </c>
      <c r="L98" t="s">
        <v>29</v>
      </c>
      <c r="M98" t="s">
        <v>30</v>
      </c>
      <c r="N98" t="s">
        <v>31</v>
      </c>
      <c r="O98" t="s">
        <v>32</v>
      </c>
      <c r="P98" t="s">
        <v>64</v>
      </c>
      <c r="Q98" s="1">
        <v>40648</v>
      </c>
      <c r="S98" s="2">
        <f t="shared" ca="1" si="8"/>
        <v>14.975342465753425</v>
      </c>
      <c r="T98" s="2" t="str">
        <f t="shared" ca="1" si="9"/>
        <v>10+ Years</v>
      </c>
      <c r="U98" t="s">
        <v>34</v>
      </c>
      <c r="V98" t="s">
        <v>35</v>
      </c>
      <c r="W98" t="s">
        <v>44</v>
      </c>
      <c r="X98" t="s">
        <v>102</v>
      </c>
      <c r="Y98" t="s">
        <v>46</v>
      </c>
      <c r="Z98" t="s">
        <v>39</v>
      </c>
      <c r="AA98">
        <v>5</v>
      </c>
      <c r="AB98">
        <v>5</v>
      </c>
      <c r="AC98">
        <v>5</v>
      </c>
      <c r="AD98" s="1">
        <v>43472</v>
      </c>
      <c r="AE98">
        <v>0</v>
      </c>
      <c r="AF98">
        <v>15</v>
      </c>
    </row>
    <row r="99" spans="1:32" x14ac:dyDescent="0.3">
      <c r="A99" t="s">
        <v>264</v>
      </c>
      <c r="B99">
        <v>1</v>
      </c>
      <c r="C99">
        <v>1</v>
      </c>
      <c r="D99">
        <v>99351</v>
      </c>
      <c r="E99" t="str">
        <f t="shared" si="5"/>
        <v>High</v>
      </c>
      <c r="F99">
        <v>0</v>
      </c>
      <c r="G99" t="str">
        <f t="shared" si="6"/>
        <v>No</v>
      </c>
      <c r="H99" t="s">
        <v>89</v>
      </c>
      <c r="I99" t="s">
        <v>28</v>
      </c>
      <c r="J99" s="1">
        <v>28961</v>
      </c>
      <c r="K99" s="2">
        <f t="shared" ca="1" si="7"/>
        <v>47</v>
      </c>
      <c r="L99" t="s">
        <v>49</v>
      </c>
      <c r="M99" t="s">
        <v>41</v>
      </c>
      <c r="N99" t="s">
        <v>31</v>
      </c>
      <c r="O99" t="s">
        <v>127</v>
      </c>
      <c r="P99" t="s">
        <v>33</v>
      </c>
      <c r="Q99" s="1">
        <v>39818</v>
      </c>
      <c r="S99" s="2">
        <f t="shared" ca="1" si="8"/>
        <v>17.24931506849315</v>
      </c>
      <c r="T99" s="2" t="str">
        <f t="shared" ca="1" si="9"/>
        <v>10+ Years</v>
      </c>
      <c r="U99" t="s">
        <v>34</v>
      </c>
      <c r="V99" t="s">
        <v>35</v>
      </c>
      <c r="W99" t="s">
        <v>90</v>
      </c>
      <c r="X99" t="s">
        <v>128</v>
      </c>
      <c r="Y99" t="s">
        <v>129</v>
      </c>
      <c r="Z99" t="s">
        <v>47</v>
      </c>
      <c r="AA99">
        <v>5</v>
      </c>
      <c r="AB99">
        <v>3</v>
      </c>
      <c r="AC99">
        <v>2</v>
      </c>
      <c r="AD99" s="1">
        <v>43504</v>
      </c>
      <c r="AE99">
        <v>0</v>
      </c>
      <c r="AF99">
        <v>3</v>
      </c>
    </row>
    <row r="100" spans="1:32" x14ac:dyDescent="0.3">
      <c r="A100" t="s">
        <v>265</v>
      </c>
      <c r="B100">
        <v>1</v>
      </c>
      <c r="C100">
        <v>6</v>
      </c>
      <c r="D100">
        <v>67251</v>
      </c>
      <c r="E100" t="str">
        <f t="shared" si="5"/>
        <v>High</v>
      </c>
      <c r="F100">
        <v>0</v>
      </c>
      <c r="G100" t="str">
        <f t="shared" si="6"/>
        <v>No</v>
      </c>
      <c r="H100" t="s">
        <v>97</v>
      </c>
      <c r="I100" t="s">
        <v>87</v>
      </c>
      <c r="J100" s="1">
        <v>23251</v>
      </c>
      <c r="K100" s="2">
        <f t="shared" ca="1" si="7"/>
        <v>63</v>
      </c>
      <c r="L100" t="s">
        <v>29</v>
      </c>
      <c r="M100" t="s">
        <v>30</v>
      </c>
      <c r="N100" t="s">
        <v>31</v>
      </c>
      <c r="O100" t="s">
        <v>32</v>
      </c>
      <c r="P100" t="s">
        <v>64</v>
      </c>
      <c r="Q100" s="1">
        <v>40792</v>
      </c>
      <c r="S100" s="2">
        <f t="shared" ca="1" si="8"/>
        <v>14.580821917808219</v>
      </c>
      <c r="T100" s="2" t="str">
        <f t="shared" ca="1" si="9"/>
        <v>10+ Years</v>
      </c>
      <c r="U100" t="s">
        <v>34</v>
      </c>
      <c r="V100" t="s">
        <v>35</v>
      </c>
      <c r="W100" t="s">
        <v>99</v>
      </c>
      <c r="X100" t="s">
        <v>105</v>
      </c>
      <c r="Y100" t="s">
        <v>84</v>
      </c>
      <c r="Z100" t="s">
        <v>47</v>
      </c>
      <c r="AA100">
        <v>4.3</v>
      </c>
      <c r="AB100">
        <v>3</v>
      </c>
      <c r="AC100">
        <v>0</v>
      </c>
      <c r="AD100" s="1">
        <v>43492</v>
      </c>
      <c r="AE100">
        <v>2</v>
      </c>
      <c r="AF100">
        <v>7</v>
      </c>
    </row>
    <row r="101" spans="1:32" x14ac:dyDescent="0.3">
      <c r="A101" t="s">
        <v>266</v>
      </c>
      <c r="B101">
        <v>1</v>
      </c>
      <c r="C101">
        <v>3</v>
      </c>
      <c r="D101">
        <v>65707</v>
      </c>
      <c r="E101" t="str">
        <f t="shared" si="5"/>
        <v>High</v>
      </c>
      <c r="F101">
        <v>0</v>
      </c>
      <c r="G101" t="str">
        <f t="shared" si="6"/>
        <v>No</v>
      </c>
      <c r="H101" t="s">
        <v>67</v>
      </c>
      <c r="I101" t="s">
        <v>87</v>
      </c>
      <c r="J101" s="1">
        <v>25025</v>
      </c>
      <c r="K101" s="2">
        <f t="shared" ca="1" si="7"/>
        <v>58</v>
      </c>
      <c r="L101" t="s">
        <v>49</v>
      </c>
      <c r="M101" t="s">
        <v>30</v>
      </c>
      <c r="N101" t="s">
        <v>31</v>
      </c>
      <c r="O101" t="s">
        <v>32</v>
      </c>
      <c r="P101" t="s">
        <v>33</v>
      </c>
      <c r="Q101" s="1">
        <v>40299</v>
      </c>
      <c r="S101" s="2">
        <f t="shared" ca="1" si="8"/>
        <v>15.931506849315069</v>
      </c>
      <c r="T101" s="2" t="str">
        <f t="shared" ca="1" si="9"/>
        <v>10+ Years</v>
      </c>
      <c r="U101" t="s">
        <v>34</v>
      </c>
      <c r="V101" t="s">
        <v>35</v>
      </c>
      <c r="W101" t="s">
        <v>44</v>
      </c>
      <c r="X101" t="s">
        <v>108</v>
      </c>
      <c r="Y101" t="s">
        <v>38</v>
      </c>
      <c r="Z101" t="s">
        <v>47</v>
      </c>
      <c r="AA101">
        <v>4.7</v>
      </c>
      <c r="AB101">
        <v>4</v>
      </c>
      <c r="AC101">
        <v>5</v>
      </c>
      <c r="AD101" s="1">
        <v>43497</v>
      </c>
      <c r="AE101">
        <v>0</v>
      </c>
      <c r="AF101">
        <v>1</v>
      </c>
    </row>
    <row r="102" spans="1:32" x14ac:dyDescent="0.3">
      <c r="A102" t="s">
        <v>267</v>
      </c>
      <c r="B102">
        <v>1</v>
      </c>
      <c r="C102">
        <v>5</v>
      </c>
      <c r="D102">
        <v>52249</v>
      </c>
      <c r="E102" t="str">
        <f t="shared" si="5"/>
        <v>Medium</v>
      </c>
      <c r="F102">
        <v>0</v>
      </c>
      <c r="G102" t="str">
        <f t="shared" si="6"/>
        <v>No</v>
      </c>
      <c r="H102" t="s">
        <v>27</v>
      </c>
      <c r="I102" t="s">
        <v>28</v>
      </c>
      <c r="J102" s="1">
        <v>31305</v>
      </c>
      <c r="K102" s="2">
        <f t="shared" ca="1" si="7"/>
        <v>41</v>
      </c>
      <c r="L102" t="s">
        <v>29</v>
      </c>
      <c r="M102" t="s">
        <v>30</v>
      </c>
      <c r="N102" t="s">
        <v>31</v>
      </c>
      <c r="O102" t="s">
        <v>69</v>
      </c>
      <c r="P102" t="s">
        <v>33</v>
      </c>
      <c r="Q102" s="1">
        <v>42093</v>
      </c>
      <c r="S102" s="2">
        <f t="shared" ca="1" si="8"/>
        <v>11.016438356164384</v>
      </c>
      <c r="T102" s="2" t="str">
        <f t="shared" ca="1" si="9"/>
        <v>10+ Years</v>
      </c>
      <c r="U102" t="s">
        <v>34</v>
      </c>
      <c r="V102" t="s">
        <v>35</v>
      </c>
      <c r="W102" t="s">
        <v>36</v>
      </c>
      <c r="X102" t="s">
        <v>71</v>
      </c>
      <c r="Y102" t="s">
        <v>63</v>
      </c>
      <c r="Z102" t="s">
        <v>47</v>
      </c>
      <c r="AA102">
        <v>4.5</v>
      </c>
      <c r="AB102">
        <v>3</v>
      </c>
      <c r="AC102">
        <v>0</v>
      </c>
      <c r="AD102" s="1">
        <v>43514</v>
      </c>
      <c r="AE102">
        <v>0</v>
      </c>
      <c r="AF102">
        <v>5</v>
      </c>
    </row>
    <row r="103" spans="1:32" x14ac:dyDescent="0.3">
      <c r="A103" t="s">
        <v>268</v>
      </c>
      <c r="B103">
        <v>1</v>
      </c>
      <c r="C103">
        <v>5</v>
      </c>
      <c r="D103">
        <v>53171</v>
      </c>
      <c r="E103" t="str">
        <f t="shared" si="5"/>
        <v>Medium</v>
      </c>
      <c r="F103">
        <v>0</v>
      </c>
      <c r="G103" t="str">
        <f t="shared" si="6"/>
        <v>No</v>
      </c>
      <c r="H103" t="s">
        <v>27</v>
      </c>
      <c r="I103" t="s">
        <v>28</v>
      </c>
      <c r="J103" s="1">
        <v>30652</v>
      </c>
      <c r="K103" s="2">
        <f t="shared" ca="1" si="7"/>
        <v>43</v>
      </c>
      <c r="L103" t="s">
        <v>49</v>
      </c>
      <c r="M103" t="s">
        <v>30</v>
      </c>
      <c r="N103" t="s">
        <v>31</v>
      </c>
      <c r="O103" t="s">
        <v>69</v>
      </c>
      <c r="P103" t="s">
        <v>64</v>
      </c>
      <c r="Q103" s="1">
        <v>40679</v>
      </c>
      <c r="S103" s="2">
        <f t="shared" ca="1" si="8"/>
        <v>14.890410958904109</v>
      </c>
      <c r="T103" s="2" t="str">
        <f t="shared" ca="1" si="9"/>
        <v>10+ Years</v>
      </c>
      <c r="U103" t="s">
        <v>34</v>
      </c>
      <c r="V103" t="s">
        <v>35</v>
      </c>
      <c r="W103" t="s">
        <v>36</v>
      </c>
      <c r="X103" t="s">
        <v>76</v>
      </c>
      <c r="Y103" t="s">
        <v>38</v>
      </c>
      <c r="Z103" t="s">
        <v>47</v>
      </c>
      <c r="AA103">
        <v>4.2</v>
      </c>
      <c r="AB103">
        <v>4</v>
      </c>
      <c r="AC103">
        <v>0</v>
      </c>
      <c r="AD103" s="1">
        <v>43522</v>
      </c>
      <c r="AE103">
        <v>0</v>
      </c>
      <c r="AF103">
        <v>12</v>
      </c>
    </row>
    <row r="104" spans="1:32" x14ac:dyDescent="0.3">
      <c r="A104" t="s">
        <v>269</v>
      </c>
      <c r="B104">
        <v>1</v>
      </c>
      <c r="C104">
        <v>5</v>
      </c>
      <c r="D104">
        <v>51337</v>
      </c>
      <c r="E104" t="str">
        <f t="shared" si="5"/>
        <v>Medium</v>
      </c>
      <c r="F104">
        <v>0</v>
      </c>
      <c r="G104" t="str">
        <f t="shared" si="6"/>
        <v>No</v>
      </c>
      <c r="H104" t="s">
        <v>27</v>
      </c>
      <c r="I104" t="s">
        <v>28</v>
      </c>
      <c r="J104" s="1">
        <v>33147</v>
      </c>
      <c r="K104" s="2">
        <f t="shared" ca="1" si="7"/>
        <v>36</v>
      </c>
      <c r="L104" t="s">
        <v>49</v>
      </c>
      <c r="M104" t="s">
        <v>41</v>
      </c>
      <c r="N104" t="s">
        <v>31</v>
      </c>
      <c r="O104" t="s">
        <v>32</v>
      </c>
      <c r="P104" t="s">
        <v>64</v>
      </c>
      <c r="Q104" s="1">
        <v>42093</v>
      </c>
      <c r="S104" s="2">
        <f t="shared" ca="1" si="8"/>
        <v>11.016438356164384</v>
      </c>
      <c r="T104" s="2" t="str">
        <f t="shared" ca="1" si="9"/>
        <v>10+ Years</v>
      </c>
      <c r="U104" t="s">
        <v>34</v>
      </c>
      <c r="V104" t="s">
        <v>35</v>
      </c>
      <c r="W104" t="s">
        <v>36</v>
      </c>
      <c r="X104" t="s">
        <v>37</v>
      </c>
      <c r="Y104" t="s">
        <v>38</v>
      </c>
      <c r="Z104" t="s">
        <v>47</v>
      </c>
      <c r="AA104">
        <v>3.73</v>
      </c>
      <c r="AB104">
        <v>3</v>
      </c>
      <c r="AC104">
        <v>0</v>
      </c>
      <c r="AD104" s="1">
        <v>43481</v>
      </c>
      <c r="AE104">
        <v>0</v>
      </c>
      <c r="AF104">
        <v>19</v>
      </c>
    </row>
    <row r="105" spans="1:32" x14ac:dyDescent="0.3">
      <c r="A105" t="s">
        <v>270</v>
      </c>
      <c r="B105">
        <v>5</v>
      </c>
      <c r="C105">
        <v>5</v>
      </c>
      <c r="D105">
        <v>51505</v>
      </c>
      <c r="E105" t="str">
        <f t="shared" si="5"/>
        <v>Medium</v>
      </c>
      <c r="F105">
        <v>1</v>
      </c>
      <c r="G105" t="str">
        <f t="shared" si="6"/>
        <v>Yes</v>
      </c>
      <c r="H105" t="s">
        <v>27</v>
      </c>
      <c r="I105" t="s">
        <v>28</v>
      </c>
      <c r="J105" s="1">
        <v>25703</v>
      </c>
      <c r="K105" s="2">
        <f t="shared" ca="1" si="7"/>
        <v>56</v>
      </c>
      <c r="L105" t="s">
        <v>49</v>
      </c>
      <c r="M105" t="s">
        <v>53</v>
      </c>
      <c r="N105" t="s">
        <v>31</v>
      </c>
      <c r="O105" t="s">
        <v>32</v>
      </c>
      <c r="P105" t="s">
        <v>64</v>
      </c>
      <c r="Q105" s="1">
        <v>40854</v>
      </c>
      <c r="R105" s="1">
        <v>42689</v>
      </c>
      <c r="S105" s="2">
        <f t="shared" ca="1" si="8"/>
        <v>5.0273972602739727</v>
      </c>
      <c r="T105" s="2" t="str">
        <f t="shared" ca="1" si="9"/>
        <v>6-10 Years</v>
      </c>
      <c r="U105" t="s">
        <v>50</v>
      </c>
      <c r="V105" t="s">
        <v>43</v>
      </c>
      <c r="W105" t="s">
        <v>36</v>
      </c>
      <c r="X105" t="s">
        <v>52</v>
      </c>
      <c r="Y105" t="s">
        <v>66</v>
      </c>
      <c r="Z105" t="s">
        <v>47</v>
      </c>
      <c r="AA105">
        <v>4.24</v>
      </c>
      <c r="AB105">
        <v>4</v>
      </c>
      <c r="AC105">
        <v>0</v>
      </c>
      <c r="AD105" s="1">
        <v>42489</v>
      </c>
      <c r="AE105">
        <v>0</v>
      </c>
      <c r="AF105">
        <v>2</v>
      </c>
    </row>
    <row r="106" spans="1:32" x14ac:dyDescent="0.3">
      <c r="A106" t="s">
        <v>271</v>
      </c>
      <c r="B106">
        <v>4</v>
      </c>
      <c r="C106">
        <v>6</v>
      </c>
      <c r="D106">
        <v>59370</v>
      </c>
      <c r="E106" t="str">
        <f t="shared" si="5"/>
        <v>Medium</v>
      </c>
      <c r="F106">
        <v>1</v>
      </c>
      <c r="G106" t="str">
        <f t="shared" si="6"/>
        <v>Yes</v>
      </c>
      <c r="H106" t="s">
        <v>97</v>
      </c>
      <c r="I106" t="s">
        <v>130</v>
      </c>
      <c r="J106" s="1">
        <v>26124</v>
      </c>
      <c r="K106" s="2">
        <f t="shared" ca="1" si="7"/>
        <v>55</v>
      </c>
      <c r="L106" t="s">
        <v>49</v>
      </c>
      <c r="M106" t="s">
        <v>61</v>
      </c>
      <c r="N106" t="s">
        <v>31</v>
      </c>
      <c r="O106" t="s">
        <v>32</v>
      </c>
      <c r="P106" t="s">
        <v>64</v>
      </c>
      <c r="Q106" s="1">
        <v>41827</v>
      </c>
      <c r="R106" s="1">
        <v>42252</v>
      </c>
      <c r="S106" s="2">
        <f t="shared" ca="1" si="8"/>
        <v>1.1643835616438356</v>
      </c>
      <c r="T106" s="2" t="str">
        <f t="shared" ca="1" si="9"/>
        <v>0-2 Years</v>
      </c>
      <c r="U106" t="s">
        <v>78</v>
      </c>
      <c r="V106" t="s">
        <v>79</v>
      </c>
      <c r="W106" t="s">
        <v>99</v>
      </c>
      <c r="X106" t="s">
        <v>100</v>
      </c>
      <c r="Y106" t="s">
        <v>84</v>
      </c>
      <c r="Z106" t="s">
        <v>47</v>
      </c>
      <c r="AA106">
        <v>3.97</v>
      </c>
      <c r="AB106">
        <v>4</v>
      </c>
      <c r="AC106">
        <v>0</v>
      </c>
      <c r="AD106" s="1">
        <v>41654</v>
      </c>
      <c r="AE106">
        <v>0</v>
      </c>
      <c r="AF106">
        <v>7</v>
      </c>
    </row>
    <row r="107" spans="1:32" x14ac:dyDescent="0.3">
      <c r="A107" t="s">
        <v>272</v>
      </c>
      <c r="B107">
        <v>5</v>
      </c>
      <c r="C107">
        <v>5</v>
      </c>
      <c r="D107">
        <v>54933</v>
      </c>
      <c r="E107" t="str">
        <f t="shared" si="5"/>
        <v>Medium</v>
      </c>
      <c r="F107">
        <v>1</v>
      </c>
      <c r="G107" t="str">
        <f t="shared" si="6"/>
        <v>Yes</v>
      </c>
      <c r="H107" t="s">
        <v>27</v>
      </c>
      <c r="I107" t="s">
        <v>28</v>
      </c>
      <c r="J107" s="1">
        <v>27250</v>
      </c>
      <c r="K107" s="2">
        <f t="shared" ca="1" si="7"/>
        <v>52</v>
      </c>
      <c r="L107" t="s">
        <v>29</v>
      </c>
      <c r="M107" t="s">
        <v>41</v>
      </c>
      <c r="N107" t="s">
        <v>31</v>
      </c>
      <c r="O107" t="s">
        <v>32</v>
      </c>
      <c r="P107" t="s">
        <v>64</v>
      </c>
      <c r="Q107" s="1">
        <v>41001</v>
      </c>
      <c r="R107" s="1">
        <v>42180</v>
      </c>
      <c r="S107" s="2">
        <f t="shared" ca="1" si="8"/>
        <v>3.2301369863013698</v>
      </c>
      <c r="T107" s="2" t="str">
        <f t="shared" ca="1" si="9"/>
        <v>3-5 Years</v>
      </c>
      <c r="U107" t="s">
        <v>122</v>
      </c>
      <c r="V107" t="s">
        <v>43</v>
      </c>
      <c r="W107" t="s">
        <v>36</v>
      </c>
      <c r="X107" t="s">
        <v>55</v>
      </c>
      <c r="Y107" t="s">
        <v>66</v>
      </c>
      <c r="Z107" t="s">
        <v>85</v>
      </c>
      <c r="AA107">
        <v>3.97</v>
      </c>
      <c r="AB107">
        <v>4</v>
      </c>
      <c r="AC107">
        <v>0</v>
      </c>
      <c r="AD107" s="1">
        <v>42024</v>
      </c>
      <c r="AE107">
        <v>3</v>
      </c>
      <c r="AF107">
        <v>15</v>
      </c>
    </row>
    <row r="108" spans="1:32" x14ac:dyDescent="0.3">
      <c r="A108" t="s">
        <v>273</v>
      </c>
      <c r="B108">
        <v>1</v>
      </c>
      <c r="C108">
        <v>5</v>
      </c>
      <c r="D108">
        <v>57815</v>
      </c>
      <c r="E108" t="str">
        <f t="shared" si="5"/>
        <v>Medium</v>
      </c>
      <c r="F108">
        <v>0</v>
      </c>
      <c r="G108" t="str">
        <f t="shared" si="6"/>
        <v>No</v>
      </c>
      <c r="H108" t="s">
        <v>27</v>
      </c>
      <c r="I108" t="s">
        <v>28</v>
      </c>
      <c r="J108" s="1">
        <v>29349</v>
      </c>
      <c r="K108" s="2">
        <f t="shared" ca="1" si="7"/>
        <v>46</v>
      </c>
      <c r="L108" t="s">
        <v>49</v>
      </c>
      <c r="M108" t="s">
        <v>30</v>
      </c>
      <c r="N108" t="s">
        <v>31</v>
      </c>
      <c r="O108" t="s">
        <v>69</v>
      </c>
      <c r="P108" t="s">
        <v>75</v>
      </c>
      <c r="Q108" s="1">
        <v>41911</v>
      </c>
      <c r="S108" s="2">
        <f t="shared" ca="1" si="8"/>
        <v>11.515068493150684</v>
      </c>
      <c r="T108" s="2" t="str">
        <f t="shared" ca="1" si="9"/>
        <v>10+ Years</v>
      </c>
      <c r="U108" t="s">
        <v>34</v>
      </c>
      <c r="V108" t="s">
        <v>35</v>
      </c>
      <c r="W108" t="s">
        <v>36</v>
      </c>
      <c r="X108" t="s">
        <v>57</v>
      </c>
      <c r="Y108" t="s">
        <v>46</v>
      </c>
      <c r="Z108" t="s">
        <v>39</v>
      </c>
      <c r="AA108">
        <v>3.9</v>
      </c>
      <c r="AB108">
        <v>4</v>
      </c>
      <c r="AC108">
        <v>0</v>
      </c>
      <c r="AD108" s="1">
        <v>43503</v>
      </c>
      <c r="AE108">
        <v>0</v>
      </c>
      <c r="AF108">
        <v>3</v>
      </c>
    </row>
    <row r="109" spans="1:32" x14ac:dyDescent="0.3">
      <c r="A109" t="s">
        <v>274</v>
      </c>
      <c r="B109">
        <v>1</v>
      </c>
      <c r="C109">
        <v>6</v>
      </c>
      <c r="D109">
        <v>61555</v>
      </c>
      <c r="E109" t="str">
        <f t="shared" si="5"/>
        <v>High</v>
      </c>
      <c r="F109">
        <v>0</v>
      </c>
      <c r="G109" t="str">
        <f t="shared" si="6"/>
        <v>No</v>
      </c>
      <c r="H109" t="s">
        <v>97</v>
      </c>
      <c r="I109" t="s">
        <v>131</v>
      </c>
      <c r="J109" s="1">
        <v>32773</v>
      </c>
      <c r="K109" s="2">
        <f t="shared" ca="1" si="7"/>
        <v>37</v>
      </c>
      <c r="L109" t="s">
        <v>49</v>
      </c>
      <c r="M109" t="s">
        <v>30</v>
      </c>
      <c r="N109" t="s">
        <v>31</v>
      </c>
      <c r="O109" t="s">
        <v>32</v>
      </c>
      <c r="P109" t="s">
        <v>33</v>
      </c>
      <c r="Q109" s="1">
        <v>42051</v>
      </c>
      <c r="S109" s="2">
        <f t="shared" ca="1" si="8"/>
        <v>11.131506849315068</v>
      </c>
      <c r="T109" s="2" t="str">
        <f t="shared" ca="1" si="9"/>
        <v>10+ Years</v>
      </c>
      <c r="U109" t="s">
        <v>34</v>
      </c>
      <c r="V109" t="s">
        <v>35</v>
      </c>
      <c r="W109" t="s">
        <v>99</v>
      </c>
      <c r="X109" t="s">
        <v>105</v>
      </c>
      <c r="Y109" t="s">
        <v>46</v>
      </c>
      <c r="Z109" t="s">
        <v>47</v>
      </c>
      <c r="AA109">
        <v>4.5</v>
      </c>
      <c r="AB109">
        <v>5</v>
      </c>
      <c r="AC109">
        <v>0</v>
      </c>
      <c r="AD109" s="1">
        <v>43490</v>
      </c>
      <c r="AE109">
        <v>0</v>
      </c>
      <c r="AF109">
        <v>20</v>
      </c>
    </row>
    <row r="110" spans="1:32" x14ac:dyDescent="0.3">
      <c r="A110" t="s">
        <v>275</v>
      </c>
      <c r="B110">
        <v>4</v>
      </c>
      <c r="C110">
        <v>3</v>
      </c>
      <c r="D110">
        <v>114800</v>
      </c>
      <c r="E110" t="str">
        <f t="shared" si="5"/>
        <v>High</v>
      </c>
      <c r="F110">
        <v>1</v>
      </c>
      <c r="G110" t="str">
        <f t="shared" si="6"/>
        <v>Yes</v>
      </c>
      <c r="H110" t="s">
        <v>81</v>
      </c>
      <c r="I110" t="s">
        <v>28</v>
      </c>
      <c r="J110" s="1">
        <v>26229</v>
      </c>
      <c r="K110" s="2">
        <f t="shared" ca="1" si="7"/>
        <v>55</v>
      </c>
      <c r="L110" t="s">
        <v>49</v>
      </c>
      <c r="M110" t="s">
        <v>30</v>
      </c>
      <c r="N110" t="s">
        <v>31</v>
      </c>
      <c r="O110" t="s">
        <v>32</v>
      </c>
      <c r="P110" t="s">
        <v>33</v>
      </c>
      <c r="Q110" s="1">
        <v>42051</v>
      </c>
      <c r="R110" s="1">
        <v>42078</v>
      </c>
      <c r="S110" s="2">
        <f t="shared" ca="1" si="8"/>
        <v>7.3972602739726029E-2</v>
      </c>
      <c r="T110" s="2" t="str">
        <f t="shared" ca="1" si="9"/>
        <v>0-2 Years</v>
      </c>
      <c r="U110" t="s">
        <v>123</v>
      </c>
      <c r="V110" t="s">
        <v>79</v>
      </c>
      <c r="W110" t="s">
        <v>44</v>
      </c>
      <c r="X110" t="s">
        <v>45</v>
      </c>
      <c r="Y110" t="s">
        <v>46</v>
      </c>
      <c r="Z110" t="s">
        <v>47</v>
      </c>
      <c r="AA110">
        <v>4.5999999999999996</v>
      </c>
      <c r="AB110">
        <v>4</v>
      </c>
      <c r="AC110">
        <v>4</v>
      </c>
      <c r="AD110" s="1">
        <v>42024</v>
      </c>
      <c r="AE110">
        <v>0</v>
      </c>
      <c r="AF110">
        <v>10</v>
      </c>
    </row>
    <row r="111" spans="1:32" x14ac:dyDescent="0.3">
      <c r="A111" t="s">
        <v>276</v>
      </c>
      <c r="B111">
        <v>1</v>
      </c>
      <c r="C111">
        <v>3</v>
      </c>
      <c r="D111">
        <v>74679</v>
      </c>
      <c r="E111" t="str">
        <f t="shared" si="5"/>
        <v>High</v>
      </c>
      <c r="F111">
        <v>0</v>
      </c>
      <c r="G111" t="str">
        <f t="shared" si="6"/>
        <v>No</v>
      </c>
      <c r="H111" t="s">
        <v>67</v>
      </c>
      <c r="I111" t="s">
        <v>28</v>
      </c>
      <c r="J111" s="1">
        <v>32836</v>
      </c>
      <c r="K111" s="2">
        <f t="shared" ca="1" si="7"/>
        <v>37</v>
      </c>
      <c r="L111" t="s">
        <v>29</v>
      </c>
      <c r="M111" t="s">
        <v>41</v>
      </c>
      <c r="N111" t="s">
        <v>31</v>
      </c>
      <c r="O111" t="s">
        <v>69</v>
      </c>
      <c r="P111" t="s">
        <v>33</v>
      </c>
      <c r="Q111" s="1">
        <v>42093</v>
      </c>
      <c r="S111" s="2">
        <f t="shared" ca="1" si="8"/>
        <v>11.016438356164384</v>
      </c>
      <c r="T111" s="2" t="str">
        <f t="shared" ca="1" si="9"/>
        <v>10+ Years</v>
      </c>
      <c r="U111" t="s">
        <v>34</v>
      </c>
      <c r="V111" t="s">
        <v>35</v>
      </c>
      <c r="W111" t="s">
        <v>44</v>
      </c>
      <c r="X111" t="s">
        <v>68</v>
      </c>
      <c r="Y111" t="s">
        <v>38</v>
      </c>
      <c r="Z111" t="s">
        <v>47</v>
      </c>
      <c r="AA111">
        <v>4.3</v>
      </c>
      <c r="AB111">
        <v>5</v>
      </c>
      <c r="AC111">
        <v>7</v>
      </c>
      <c r="AD111" s="1">
        <v>43475</v>
      </c>
      <c r="AE111">
        <v>0</v>
      </c>
      <c r="AF111">
        <v>20</v>
      </c>
    </row>
    <row r="112" spans="1:32" x14ac:dyDescent="0.3">
      <c r="A112" t="s">
        <v>277</v>
      </c>
      <c r="B112">
        <v>1</v>
      </c>
      <c r="C112">
        <v>5</v>
      </c>
      <c r="D112">
        <v>53018</v>
      </c>
      <c r="E112" t="str">
        <f t="shared" si="5"/>
        <v>Medium</v>
      </c>
      <c r="F112">
        <v>0</v>
      </c>
      <c r="G112" t="str">
        <f t="shared" si="6"/>
        <v>No</v>
      </c>
      <c r="H112" t="s">
        <v>27</v>
      </c>
      <c r="I112" t="s">
        <v>28</v>
      </c>
      <c r="J112" s="1">
        <v>33773</v>
      </c>
      <c r="K112" s="2">
        <f t="shared" ca="1" si="7"/>
        <v>34</v>
      </c>
      <c r="L112" t="s">
        <v>49</v>
      </c>
      <c r="M112" t="s">
        <v>30</v>
      </c>
      <c r="N112" t="s">
        <v>31</v>
      </c>
      <c r="O112" t="s">
        <v>69</v>
      </c>
      <c r="P112" t="s">
        <v>33</v>
      </c>
      <c r="Q112" s="1">
        <v>41589</v>
      </c>
      <c r="S112" s="2">
        <f t="shared" ca="1" si="8"/>
        <v>12.397260273972602</v>
      </c>
      <c r="T112" s="2" t="str">
        <f t="shared" ca="1" si="9"/>
        <v>10+ Years</v>
      </c>
      <c r="U112" t="s">
        <v>34</v>
      </c>
      <c r="V112" t="s">
        <v>35</v>
      </c>
      <c r="W112" t="s">
        <v>36</v>
      </c>
      <c r="X112" t="s">
        <v>62</v>
      </c>
      <c r="Y112" t="s">
        <v>46</v>
      </c>
      <c r="Z112" t="s">
        <v>47</v>
      </c>
      <c r="AA112">
        <v>4.3</v>
      </c>
      <c r="AB112">
        <v>5</v>
      </c>
      <c r="AC112">
        <v>0</v>
      </c>
      <c r="AD112" s="1">
        <v>43514</v>
      </c>
      <c r="AE112">
        <v>0</v>
      </c>
      <c r="AF112">
        <v>7</v>
      </c>
    </row>
    <row r="113" spans="1:32" x14ac:dyDescent="0.3">
      <c r="A113" t="s">
        <v>278</v>
      </c>
      <c r="B113">
        <v>1</v>
      </c>
      <c r="C113">
        <v>5</v>
      </c>
      <c r="D113">
        <v>59892</v>
      </c>
      <c r="E113" t="str">
        <f t="shared" si="5"/>
        <v>Medium</v>
      </c>
      <c r="F113">
        <v>0</v>
      </c>
      <c r="G113" t="str">
        <f t="shared" si="6"/>
        <v>No</v>
      </c>
      <c r="H113" t="s">
        <v>27</v>
      </c>
      <c r="I113" t="s">
        <v>28</v>
      </c>
      <c r="J113" s="1">
        <v>25475</v>
      </c>
      <c r="K113" s="2">
        <f t="shared" ca="1" si="7"/>
        <v>57</v>
      </c>
      <c r="L113" t="s">
        <v>29</v>
      </c>
      <c r="M113" t="s">
        <v>53</v>
      </c>
      <c r="N113" t="s">
        <v>31</v>
      </c>
      <c r="O113" t="s">
        <v>32</v>
      </c>
      <c r="P113" t="s">
        <v>64</v>
      </c>
      <c r="Q113" s="1">
        <v>40735</v>
      </c>
      <c r="S113" s="2">
        <f t="shared" ca="1" si="8"/>
        <v>14.736986301369862</v>
      </c>
      <c r="T113" s="2" t="str">
        <f t="shared" ca="1" si="9"/>
        <v>10+ Years</v>
      </c>
      <c r="U113" t="s">
        <v>34</v>
      </c>
      <c r="V113" t="s">
        <v>35</v>
      </c>
      <c r="W113" t="s">
        <v>36</v>
      </c>
      <c r="X113" t="s">
        <v>65</v>
      </c>
      <c r="Y113" t="s">
        <v>66</v>
      </c>
      <c r="Z113" t="s">
        <v>39</v>
      </c>
      <c r="AA113">
        <v>4.5</v>
      </c>
      <c r="AB113">
        <v>4</v>
      </c>
      <c r="AC113">
        <v>0</v>
      </c>
      <c r="AD113" s="1">
        <v>43514</v>
      </c>
      <c r="AE113">
        <v>0</v>
      </c>
      <c r="AF113">
        <v>1</v>
      </c>
    </row>
    <row r="114" spans="1:32" x14ac:dyDescent="0.3">
      <c r="A114" t="s">
        <v>279</v>
      </c>
      <c r="B114">
        <v>5</v>
      </c>
      <c r="C114">
        <v>5</v>
      </c>
      <c r="D114">
        <v>68898</v>
      </c>
      <c r="E114" t="str">
        <f t="shared" si="5"/>
        <v>High</v>
      </c>
      <c r="F114">
        <v>1</v>
      </c>
      <c r="G114" t="str">
        <f t="shared" si="6"/>
        <v>Yes</v>
      </c>
      <c r="H114" t="s">
        <v>48</v>
      </c>
      <c r="I114" t="s">
        <v>28</v>
      </c>
      <c r="J114" s="1">
        <v>23662</v>
      </c>
      <c r="K114" s="2">
        <f t="shared" ca="1" si="7"/>
        <v>62</v>
      </c>
      <c r="L114" t="s">
        <v>29</v>
      </c>
      <c r="M114" t="s">
        <v>41</v>
      </c>
      <c r="N114" t="s">
        <v>31</v>
      </c>
      <c r="O114" t="s">
        <v>32</v>
      </c>
      <c r="P114" t="s">
        <v>64</v>
      </c>
      <c r="Q114" s="1">
        <v>40294</v>
      </c>
      <c r="R114" s="1">
        <v>40693</v>
      </c>
      <c r="S114" s="2">
        <f t="shared" ca="1" si="8"/>
        <v>1.0931506849315069</v>
      </c>
      <c r="T114" s="2" t="str">
        <f t="shared" ca="1" si="9"/>
        <v>0-2 Years</v>
      </c>
      <c r="U114" t="s">
        <v>42</v>
      </c>
      <c r="V114" t="s">
        <v>43</v>
      </c>
      <c r="W114" t="s">
        <v>36</v>
      </c>
      <c r="X114" t="s">
        <v>65</v>
      </c>
      <c r="Y114" t="s">
        <v>66</v>
      </c>
      <c r="Z114" t="s">
        <v>114</v>
      </c>
      <c r="AA114">
        <v>3</v>
      </c>
      <c r="AB114">
        <v>3</v>
      </c>
      <c r="AC114">
        <v>0</v>
      </c>
      <c r="AD114" s="1">
        <v>40608</v>
      </c>
      <c r="AE114">
        <v>3</v>
      </c>
      <c r="AF114">
        <v>10</v>
      </c>
    </row>
    <row r="115" spans="1:32" x14ac:dyDescent="0.3">
      <c r="A115" t="s">
        <v>280</v>
      </c>
      <c r="B115">
        <v>1</v>
      </c>
      <c r="C115">
        <v>3</v>
      </c>
      <c r="D115">
        <v>61242</v>
      </c>
      <c r="E115" t="str">
        <f t="shared" si="5"/>
        <v>High</v>
      </c>
      <c r="F115">
        <v>0</v>
      </c>
      <c r="G115" t="str">
        <f t="shared" si="6"/>
        <v>No</v>
      </c>
      <c r="H115" t="s">
        <v>67</v>
      </c>
      <c r="I115" t="s">
        <v>28</v>
      </c>
      <c r="J115" s="1">
        <v>29692</v>
      </c>
      <c r="K115" s="2">
        <f t="shared" ca="1" si="7"/>
        <v>45</v>
      </c>
      <c r="L115" t="s">
        <v>49</v>
      </c>
      <c r="M115" t="s">
        <v>96</v>
      </c>
      <c r="N115" t="s">
        <v>31</v>
      </c>
      <c r="O115" t="s">
        <v>69</v>
      </c>
      <c r="P115" t="s">
        <v>33</v>
      </c>
      <c r="Q115" s="1">
        <v>42009</v>
      </c>
      <c r="S115" s="2">
        <f t="shared" ca="1" si="8"/>
        <v>11.246575342465754</v>
      </c>
      <c r="T115" s="2" t="str">
        <f t="shared" ca="1" si="9"/>
        <v>10+ Years</v>
      </c>
      <c r="U115" t="s">
        <v>34</v>
      </c>
      <c r="V115" t="s">
        <v>35</v>
      </c>
      <c r="W115" t="s">
        <v>44</v>
      </c>
      <c r="X115" t="s">
        <v>68</v>
      </c>
      <c r="Y115" t="s">
        <v>63</v>
      </c>
      <c r="Z115" t="s">
        <v>47</v>
      </c>
      <c r="AA115">
        <v>4.6100000000000003</v>
      </c>
      <c r="AB115">
        <v>4</v>
      </c>
      <c r="AC115">
        <v>5</v>
      </c>
      <c r="AD115" s="1">
        <v>43493</v>
      </c>
      <c r="AE115">
        <v>0</v>
      </c>
      <c r="AF115">
        <v>11</v>
      </c>
    </row>
    <row r="116" spans="1:32" x14ac:dyDescent="0.3">
      <c r="A116" t="s">
        <v>281</v>
      </c>
      <c r="B116">
        <v>3</v>
      </c>
      <c r="C116">
        <v>5</v>
      </c>
      <c r="D116">
        <v>66825</v>
      </c>
      <c r="E116" t="str">
        <f t="shared" si="5"/>
        <v>High</v>
      </c>
      <c r="F116">
        <v>0</v>
      </c>
      <c r="G116" t="str">
        <f t="shared" si="6"/>
        <v>No</v>
      </c>
      <c r="H116" t="s">
        <v>48</v>
      </c>
      <c r="I116" t="s">
        <v>28</v>
      </c>
      <c r="J116" s="1">
        <v>31557</v>
      </c>
      <c r="K116" s="2">
        <f t="shared" ca="1" si="7"/>
        <v>40</v>
      </c>
      <c r="L116" t="s">
        <v>49</v>
      </c>
      <c r="M116" t="s">
        <v>41</v>
      </c>
      <c r="N116" t="s">
        <v>31</v>
      </c>
      <c r="O116" t="s">
        <v>32</v>
      </c>
      <c r="P116" t="s">
        <v>33</v>
      </c>
      <c r="Q116" s="1">
        <v>41771</v>
      </c>
      <c r="S116" s="2">
        <f t="shared" ca="1" si="8"/>
        <v>11.898630136986302</v>
      </c>
      <c r="T116" s="2" t="str">
        <f t="shared" ca="1" si="9"/>
        <v>10+ Years</v>
      </c>
      <c r="U116" t="s">
        <v>34</v>
      </c>
      <c r="V116" t="s">
        <v>35</v>
      </c>
      <c r="W116" t="s">
        <v>36</v>
      </c>
      <c r="X116" t="s">
        <v>71</v>
      </c>
      <c r="Y116" t="s">
        <v>38</v>
      </c>
      <c r="Z116" t="s">
        <v>47</v>
      </c>
      <c r="AA116">
        <v>4.5999999999999996</v>
      </c>
      <c r="AB116">
        <v>3</v>
      </c>
      <c r="AC116">
        <v>0</v>
      </c>
      <c r="AD116" s="1">
        <v>43503</v>
      </c>
      <c r="AE116">
        <v>0</v>
      </c>
      <c r="AF116">
        <v>20</v>
      </c>
    </row>
    <row r="117" spans="1:32" x14ac:dyDescent="0.3">
      <c r="A117" t="s">
        <v>282</v>
      </c>
      <c r="B117">
        <v>1</v>
      </c>
      <c r="C117">
        <v>5</v>
      </c>
      <c r="D117">
        <v>48285</v>
      </c>
      <c r="E117" t="str">
        <f t="shared" si="5"/>
        <v>Medium</v>
      </c>
      <c r="F117">
        <v>0</v>
      </c>
      <c r="G117" t="str">
        <f t="shared" si="6"/>
        <v>No</v>
      </c>
      <c r="H117" t="s">
        <v>27</v>
      </c>
      <c r="I117" t="s">
        <v>28</v>
      </c>
      <c r="J117" s="1">
        <v>28996</v>
      </c>
      <c r="K117" s="2">
        <f t="shared" ca="1" si="7"/>
        <v>47</v>
      </c>
      <c r="L117" t="s">
        <v>29</v>
      </c>
      <c r="M117" t="s">
        <v>41</v>
      </c>
      <c r="N117" t="s">
        <v>31</v>
      </c>
      <c r="O117" t="s">
        <v>32</v>
      </c>
      <c r="P117" t="s">
        <v>33</v>
      </c>
      <c r="Q117" s="1">
        <v>41092</v>
      </c>
      <c r="S117" s="2">
        <f t="shared" ca="1" si="8"/>
        <v>13.758904109589041</v>
      </c>
      <c r="T117" s="2" t="str">
        <f t="shared" ca="1" si="9"/>
        <v>10+ Years</v>
      </c>
      <c r="U117" t="s">
        <v>34</v>
      </c>
      <c r="V117" t="s">
        <v>35</v>
      </c>
      <c r="W117" t="s">
        <v>36</v>
      </c>
      <c r="X117" t="s">
        <v>71</v>
      </c>
      <c r="Y117" t="s">
        <v>38</v>
      </c>
      <c r="Z117" t="s">
        <v>47</v>
      </c>
      <c r="AA117">
        <v>5</v>
      </c>
      <c r="AB117">
        <v>3</v>
      </c>
      <c r="AC117">
        <v>0</v>
      </c>
      <c r="AD117" s="1">
        <v>43479</v>
      </c>
      <c r="AE117">
        <v>0</v>
      </c>
      <c r="AF117">
        <v>2</v>
      </c>
    </row>
    <row r="118" spans="1:32" x14ac:dyDescent="0.3">
      <c r="A118" t="s">
        <v>283</v>
      </c>
      <c r="B118">
        <v>3</v>
      </c>
      <c r="C118">
        <v>5</v>
      </c>
      <c r="D118">
        <v>66149</v>
      </c>
      <c r="E118" t="str">
        <f t="shared" si="5"/>
        <v>High</v>
      </c>
      <c r="F118">
        <v>0</v>
      </c>
      <c r="G118" t="str">
        <f t="shared" si="6"/>
        <v>No</v>
      </c>
      <c r="H118" t="s">
        <v>48</v>
      </c>
      <c r="I118" t="s">
        <v>28</v>
      </c>
      <c r="J118" s="1">
        <v>30658</v>
      </c>
      <c r="K118" s="2">
        <f t="shared" ca="1" si="7"/>
        <v>43</v>
      </c>
      <c r="L118" t="s">
        <v>49</v>
      </c>
      <c r="M118" t="s">
        <v>96</v>
      </c>
      <c r="N118" t="s">
        <v>31</v>
      </c>
      <c r="O118" t="s">
        <v>32</v>
      </c>
      <c r="P118" t="s">
        <v>132</v>
      </c>
      <c r="Q118" s="1">
        <v>41547</v>
      </c>
      <c r="S118" s="2">
        <f t="shared" ca="1" si="8"/>
        <v>12.512328767123288</v>
      </c>
      <c r="T118" s="2" t="str">
        <f t="shared" ca="1" si="9"/>
        <v>10+ Years</v>
      </c>
      <c r="U118" t="s">
        <v>34</v>
      </c>
      <c r="V118" t="s">
        <v>35</v>
      </c>
      <c r="W118" t="s">
        <v>36</v>
      </c>
      <c r="X118" t="s">
        <v>51</v>
      </c>
      <c r="Y118" t="s">
        <v>56</v>
      </c>
      <c r="Z118" t="s">
        <v>47</v>
      </c>
      <c r="AA118">
        <v>4.4000000000000004</v>
      </c>
      <c r="AB118">
        <v>5</v>
      </c>
      <c r="AC118">
        <v>0</v>
      </c>
      <c r="AD118" s="1">
        <v>43517</v>
      </c>
      <c r="AE118">
        <v>0</v>
      </c>
      <c r="AF118">
        <v>1</v>
      </c>
    </row>
    <row r="119" spans="1:32" x14ac:dyDescent="0.3">
      <c r="A119" t="s">
        <v>284</v>
      </c>
      <c r="B119">
        <v>3</v>
      </c>
      <c r="C119">
        <v>5</v>
      </c>
      <c r="D119">
        <v>49256</v>
      </c>
      <c r="E119" t="str">
        <f t="shared" si="5"/>
        <v>Medium</v>
      </c>
      <c r="F119">
        <v>0</v>
      </c>
      <c r="G119" t="str">
        <f t="shared" si="6"/>
        <v>No</v>
      </c>
      <c r="H119" t="s">
        <v>27</v>
      </c>
      <c r="I119" t="s">
        <v>28</v>
      </c>
      <c r="J119" s="1">
        <v>27311</v>
      </c>
      <c r="K119" s="2">
        <f t="shared" ca="1" si="7"/>
        <v>52</v>
      </c>
      <c r="L119" t="s">
        <v>49</v>
      </c>
      <c r="M119" t="s">
        <v>41</v>
      </c>
      <c r="N119" t="s">
        <v>31</v>
      </c>
      <c r="O119" t="s">
        <v>32</v>
      </c>
      <c r="P119" t="s">
        <v>83</v>
      </c>
      <c r="Q119" s="1">
        <v>41505</v>
      </c>
      <c r="S119" s="2">
        <f t="shared" ca="1" si="8"/>
        <v>12.627397260273973</v>
      </c>
      <c r="T119" s="2" t="str">
        <f t="shared" ca="1" si="9"/>
        <v>10+ Years</v>
      </c>
      <c r="U119" t="s">
        <v>34</v>
      </c>
      <c r="V119" t="s">
        <v>35</v>
      </c>
      <c r="W119" t="s">
        <v>36</v>
      </c>
      <c r="X119" t="s">
        <v>51</v>
      </c>
      <c r="Y119" t="s">
        <v>38</v>
      </c>
      <c r="Z119" t="s">
        <v>47</v>
      </c>
      <c r="AA119">
        <v>4.0999999999999996</v>
      </c>
      <c r="AB119">
        <v>5</v>
      </c>
      <c r="AC119">
        <v>0</v>
      </c>
      <c r="AD119" s="1">
        <v>43511</v>
      </c>
      <c r="AE119">
        <v>0</v>
      </c>
      <c r="AF119">
        <v>3</v>
      </c>
    </row>
    <row r="120" spans="1:32" x14ac:dyDescent="0.3">
      <c r="A120" t="s">
        <v>285</v>
      </c>
      <c r="B120">
        <v>1</v>
      </c>
      <c r="C120">
        <v>5</v>
      </c>
      <c r="D120">
        <v>62957</v>
      </c>
      <c r="E120" t="str">
        <f t="shared" si="5"/>
        <v>High</v>
      </c>
      <c r="F120">
        <v>0</v>
      </c>
      <c r="G120" t="str">
        <f t="shared" si="6"/>
        <v>No</v>
      </c>
      <c r="H120" t="s">
        <v>92</v>
      </c>
      <c r="I120" t="s">
        <v>28</v>
      </c>
      <c r="J120" s="1">
        <v>29778</v>
      </c>
      <c r="K120" s="2">
        <f t="shared" ca="1" si="7"/>
        <v>45</v>
      </c>
      <c r="L120" t="s">
        <v>29</v>
      </c>
      <c r="M120" t="s">
        <v>53</v>
      </c>
      <c r="N120" t="s">
        <v>31</v>
      </c>
      <c r="O120" t="s">
        <v>32</v>
      </c>
      <c r="P120" t="s">
        <v>33</v>
      </c>
      <c r="Q120" s="1">
        <v>42157</v>
      </c>
      <c r="S120" s="2">
        <f t="shared" ca="1" si="8"/>
        <v>10.841095890410958</v>
      </c>
      <c r="T120" s="2" t="str">
        <f t="shared" ca="1" si="9"/>
        <v>10+ Years</v>
      </c>
      <c r="U120" t="s">
        <v>34</v>
      </c>
      <c r="V120" t="s">
        <v>35</v>
      </c>
      <c r="W120" t="s">
        <v>36</v>
      </c>
      <c r="X120" t="s">
        <v>94</v>
      </c>
      <c r="Y120" t="s">
        <v>63</v>
      </c>
      <c r="Z120" t="s">
        <v>47</v>
      </c>
      <c r="AA120">
        <v>4.63</v>
      </c>
      <c r="AB120">
        <v>3</v>
      </c>
      <c r="AC120">
        <v>0</v>
      </c>
      <c r="AD120" s="1">
        <v>43469</v>
      </c>
      <c r="AE120">
        <v>0</v>
      </c>
      <c r="AF120">
        <v>2</v>
      </c>
    </row>
    <row r="121" spans="1:32" x14ac:dyDescent="0.3">
      <c r="A121" t="s">
        <v>286</v>
      </c>
      <c r="B121">
        <v>5</v>
      </c>
      <c r="C121">
        <v>5</v>
      </c>
      <c r="D121">
        <v>63813</v>
      </c>
      <c r="E121" t="str">
        <f t="shared" si="5"/>
        <v>High</v>
      </c>
      <c r="F121">
        <v>1</v>
      </c>
      <c r="G121" t="str">
        <f t="shared" si="6"/>
        <v>Yes</v>
      </c>
      <c r="H121" t="s">
        <v>27</v>
      </c>
      <c r="I121" t="s">
        <v>28</v>
      </c>
      <c r="J121" s="1">
        <v>30457</v>
      </c>
      <c r="K121" s="2">
        <f t="shared" ca="1" si="7"/>
        <v>43</v>
      </c>
      <c r="L121" t="s">
        <v>49</v>
      </c>
      <c r="M121" t="s">
        <v>53</v>
      </c>
      <c r="N121" t="s">
        <v>31</v>
      </c>
      <c r="O121" t="s">
        <v>32</v>
      </c>
      <c r="P121" t="s">
        <v>33</v>
      </c>
      <c r="Q121" s="1">
        <v>40595</v>
      </c>
      <c r="R121" s="1">
        <v>41650</v>
      </c>
      <c r="S121" s="2">
        <f t="shared" ca="1" si="8"/>
        <v>2.8904109589041096</v>
      </c>
      <c r="T121" s="2" t="str">
        <f t="shared" ca="1" si="9"/>
        <v>3-5 Years</v>
      </c>
      <c r="U121" t="s">
        <v>115</v>
      </c>
      <c r="V121" t="s">
        <v>43</v>
      </c>
      <c r="W121" t="s">
        <v>36</v>
      </c>
      <c r="X121" t="s">
        <v>76</v>
      </c>
      <c r="Y121" t="s">
        <v>84</v>
      </c>
      <c r="Z121" t="s">
        <v>47</v>
      </c>
      <c r="AA121">
        <v>5</v>
      </c>
      <c r="AB121">
        <v>5</v>
      </c>
      <c r="AC121">
        <v>0</v>
      </c>
      <c r="AD121" s="1">
        <v>41428</v>
      </c>
      <c r="AE121">
        <v>0</v>
      </c>
      <c r="AF121">
        <v>17</v>
      </c>
    </row>
    <row r="122" spans="1:32" x14ac:dyDescent="0.3">
      <c r="A122" t="s">
        <v>287</v>
      </c>
      <c r="B122">
        <v>1</v>
      </c>
      <c r="C122">
        <v>3</v>
      </c>
      <c r="D122">
        <v>99020</v>
      </c>
      <c r="E122" t="str">
        <f t="shared" si="5"/>
        <v>High</v>
      </c>
      <c r="F122">
        <v>0</v>
      </c>
      <c r="G122" t="str">
        <f t="shared" si="6"/>
        <v>No</v>
      </c>
      <c r="H122" t="s">
        <v>116</v>
      </c>
      <c r="I122" t="s">
        <v>28</v>
      </c>
      <c r="J122" s="1">
        <v>32689</v>
      </c>
      <c r="K122" s="2">
        <f t="shared" ca="1" si="7"/>
        <v>37</v>
      </c>
      <c r="L122" t="s">
        <v>29</v>
      </c>
      <c r="M122" t="s">
        <v>41</v>
      </c>
      <c r="N122" t="s">
        <v>31</v>
      </c>
      <c r="O122" t="s">
        <v>32</v>
      </c>
      <c r="P122" t="s">
        <v>64</v>
      </c>
      <c r="Q122" s="1">
        <v>42845</v>
      </c>
      <c r="S122" s="2">
        <f t="shared" ca="1" si="8"/>
        <v>8.956164383561644</v>
      </c>
      <c r="T122" s="2" t="str">
        <f t="shared" ca="1" si="9"/>
        <v>6-10 Years</v>
      </c>
      <c r="U122" t="s">
        <v>34</v>
      </c>
      <c r="V122" t="s">
        <v>35</v>
      </c>
      <c r="W122" t="s">
        <v>44</v>
      </c>
      <c r="X122" t="s">
        <v>117</v>
      </c>
      <c r="Y122" t="s">
        <v>46</v>
      </c>
      <c r="Z122" t="s">
        <v>47</v>
      </c>
      <c r="AA122">
        <v>4.2</v>
      </c>
      <c r="AB122">
        <v>5</v>
      </c>
      <c r="AC122">
        <v>5</v>
      </c>
      <c r="AD122" s="1">
        <v>43493</v>
      </c>
      <c r="AE122">
        <v>0</v>
      </c>
      <c r="AF122">
        <v>8</v>
      </c>
    </row>
    <row r="123" spans="1:32" x14ac:dyDescent="0.3">
      <c r="A123" t="s">
        <v>288</v>
      </c>
      <c r="B123">
        <v>5</v>
      </c>
      <c r="C123">
        <v>6</v>
      </c>
      <c r="D123">
        <v>71707</v>
      </c>
      <c r="E123" t="str">
        <f t="shared" si="5"/>
        <v>High</v>
      </c>
      <c r="F123">
        <v>1</v>
      </c>
      <c r="G123" t="str">
        <f t="shared" si="6"/>
        <v>Yes</v>
      </c>
      <c r="H123" t="s">
        <v>97</v>
      </c>
      <c r="I123" t="s">
        <v>133</v>
      </c>
      <c r="J123" s="1">
        <v>25243</v>
      </c>
      <c r="K123" s="2">
        <f t="shared" ca="1" si="7"/>
        <v>57</v>
      </c>
      <c r="L123" t="s">
        <v>29</v>
      </c>
      <c r="M123" t="s">
        <v>30</v>
      </c>
      <c r="N123" t="s">
        <v>31</v>
      </c>
      <c r="O123" t="s">
        <v>32</v>
      </c>
      <c r="P123" t="s">
        <v>75</v>
      </c>
      <c r="Q123" s="1">
        <v>40975</v>
      </c>
      <c r="R123" s="1">
        <v>41943</v>
      </c>
      <c r="S123" s="2">
        <f t="shared" ca="1" si="8"/>
        <v>2.6520547945205482</v>
      </c>
      <c r="T123" s="2" t="str">
        <f t="shared" ca="1" si="9"/>
        <v>3-5 Years</v>
      </c>
      <c r="U123" t="s">
        <v>106</v>
      </c>
      <c r="V123" t="s">
        <v>43</v>
      </c>
      <c r="W123" t="s">
        <v>99</v>
      </c>
      <c r="X123" t="s">
        <v>100</v>
      </c>
      <c r="Y123" t="s">
        <v>38</v>
      </c>
      <c r="Z123" t="s">
        <v>47</v>
      </c>
      <c r="AA123">
        <v>4.5</v>
      </c>
      <c r="AB123">
        <v>5</v>
      </c>
      <c r="AC123">
        <v>0</v>
      </c>
      <c r="AD123" s="1">
        <v>41306</v>
      </c>
      <c r="AE123">
        <v>0</v>
      </c>
      <c r="AF123">
        <v>20</v>
      </c>
    </row>
    <row r="124" spans="1:32" x14ac:dyDescent="0.3">
      <c r="A124" t="s">
        <v>289</v>
      </c>
      <c r="B124">
        <v>1</v>
      </c>
      <c r="C124">
        <v>5</v>
      </c>
      <c r="D124">
        <v>54828</v>
      </c>
      <c r="E124" t="str">
        <f t="shared" si="5"/>
        <v>Medium</v>
      </c>
      <c r="F124">
        <v>0</v>
      </c>
      <c r="G124" t="str">
        <f t="shared" si="6"/>
        <v>No</v>
      </c>
      <c r="H124" t="s">
        <v>27</v>
      </c>
      <c r="I124" t="s">
        <v>28</v>
      </c>
      <c r="J124" s="1">
        <v>28207</v>
      </c>
      <c r="K124" s="2">
        <f t="shared" ca="1" si="7"/>
        <v>49</v>
      </c>
      <c r="L124" t="s">
        <v>49</v>
      </c>
      <c r="M124" t="s">
        <v>41</v>
      </c>
      <c r="N124" t="s">
        <v>31</v>
      </c>
      <c r="O124" t="s">
        <v>32</v>
      </c>
      <c r="P124" t="s">
        <v>33</v>
      </c>
      <c r="Q124" s="1">
        <v>40875</v>
      </c>
      <c r="S124" s="2">
        <f t="shared" ca="1" si="8"/>
        <v>14.353424657534246</v>
      </c>
      <c r="T124" s="2" t="str">
        <f t="shared" ca="1" si="9"/>
        <v>10+ Years</v>
      </c>
      <c r="U124" t="s">
        <v>34</v>
      </c>
      <c r="V124" t="s">
        <v>35</v>
      </c>
      <c r="W124" t="s">
        <v>36</v>
      </c>
      <c r="X124" t="s">
        <v>37</v>
      </c>
      <c r="Y124" t="s">
        <v>56</v>
      </c>
      <c r="Z124" t="s">
        <v>47</v>
      </c>
      <c r="AA124">
        <v>4.2</v>
      </c>
      <c r="AB124">
        <v>4</v>
      </c>
      <c r="AC124">
        <v>0</v>
      </c>
      <c r="AD124" s="1">
        <v>43518</v>
      </c>
      <c r="AE124">
        <v>0</v>
      </c>
      <c r="AF124">
        <v>13</v>
      </c>
    </row>
    <row r="125" spans="1:32" x14ac:dyDescent="0.3">
      <c r="A125" t="s">
        <v>290</v>
      </c>
      <c r="B125">
        <v>1</v>
      </c>
      <c r="C125">
        <v>5</v>
      </c>
      <c r="D125">
        <v>64246</v>
      </c>
      <c r="E125" t="str">
        <f t="shared" si="5"/>
        <v>High</v>
      </c>
      <c r="F125">
        <v>0</v>
      </c>
      <c r="G125" t="str">
        <f t="shared" si="6"/>
        <v>No</v>
      </c>
      <c r="H125" t="s">
        <v>48</v>
      </c>
      <c r="I125" t="s">
        <v>28</v>
      </c>
      <c r="J125" s="1">
        <v>32365</v>
      </c>
      <c r="K125" s="2">
        <f t="shared" ca="1" si="7"/>
        <v>38</v>
      </c>
      <c r="L125" t="s">
        <v>29</v>
      </c>
      <c r="M125" t="s">
        <v>30</v>
      </c>
      <c r="N125" t="s">
        <v>31</v>
      </c>
      <c r="O125" t="s">
        <v>69</v>
      </c>
      <c r="P125" t="s">
        <v>33</v>
      </c>
      <c r="Q125" s="1">
        <v>41589</v>
      </c>
      <c r="S125" s="2">
        <f t="shared" ca="1" si="8"/>
        <v>12.397260273972602</v>
      </c>
      <c r="T125" s="2" t="str">
        <f t="shared" ca="1" si="9"/>
        <v>10+ Years</v>
      </c>
      <c r="U125" t="s">
        <v>34</v>
      </c>
      <c r="V125" t="s">
        <v>35</v>
      </c>
      <c r="W125" t="s">
        <v>36</v>
      </c>
      <c r="X125" t="s">
        <v>76</v>
      </c>
      <c r="Y125" t="s">
        <v>38</v>
      </c>
      <c r="Z125" t="s">
        <v>47</v>
      </c>
      <c r="AA125">
        <v>5</v>
      </c>
      <c r="AB125">
        <v>3</v>
      </c>
      <c r="AC125">
        <v>0</v>
      </c>
      <c r="AD125" s="1">
        <v>43473</v>
      </c>
      <c r="AE125">
        <v>0</v>
      </c>
      <c r="AF125">
        <v>20</v>
      </c>
    </row>
    <row r="126" spans="1:32" x14ac:dyDescent="0.3">
      <c r="A126" t="s">
        <v>291</v>
      </c>
      <c r="B126">
        <v>5</v>
      </c>
      <c r="C126">
        <v>5</v>
      </c>
      <c r="D126">
        <v>52177</v>
      </c>
      <c r="E126" t="str">
        <f t="shared" si="5"/>
        <v>Medium</v>
      </c>
      <c r="F126">
        <v>1</v>
      </c>
      <c r="G126" t="str">
        <f t="shared" si="6"/>
        <v>Yes</v>
      </c>
      <c r="H126" t="s">
        <v>27</v>
      </c>
      <c r="I126" t="s">
        <v>28</v>
      </c>
      <c r="J126" s="1">
        <v>19224</v>
      </c>
      <c r="K126" s="2">
        <f t="shared" ca="1" si="7"/>
        <v>74</v>
      </c>
      <c r="L126" t="s">
        <v>49</v>
      </c>
      <c r="M126" t="s">
        <v>30</v>
      </c>
      <c r="N126" t="s">
        <v>31</v>
      </c>
      <c r="O126" t="s">
        <v>32</v>
      </c>
      <c r="P126" t="s">
        <v>33</v>
      </c>
      <c r="Q126" s="1">
        <v>40917</v>
      </c>
      <c r="R126" s="1">
        <v>42353</v>
      </c>
      <c r="S126" s="2">
        <f t="shared" ca="1" si="8"/>
        <v>3.9342465753424656</v>
      </c>
      <c r="T126" s="2" t="str">
        <f t="shared" ca="1" si="9"/>
        <v>3-5 Years</v>
      </c>
      <c r="U126" t="s">
        <v>93</v>
      </c>
      <c r="V126" t="s">
        <v>43</v>
      </c>
      <c r="W126" t="s">
        <v>36</v>
      </c>
      <c r="X126" t="s">
        <v>55</v>
      </c>
      <c r="Y126" t="s">
        <v>84</v>
      </c>
      <c r="Z126" t="s">
        <v>47</v>
      </c>
      <c r="AA126">
        <v>4.6399999999999997</v>
      </c>
      <c r="AB126">
        <v>4</v>
      </c>
      <c r="AC126">
        <v>0</v>
      </c>
      <c r="AD126" s="1">
        <v>42126</v>
      </c>
      <c r="AE126">
        <v>0</v>
      </c>
      <c r="AF126">
        <v>8</v>
      </c>
    </row>
    <row r="127" spans="1:32" x14ac:dyDescent="0.3">
      <c r="A127" t="s">
        <v>292</v>
      </c>
      <c r="B127">
        <v>1</v>
      </c>
      <c r="C127">
        <v>5</v>
      </c>
      <c r="D127">
        <v>62065</v>
      </c>
      <c r="E127" t="str">
        <f t="shared" si="5"/>
        <v>High</v>
      </c>
      <c r="F127">
        <v>0</v>
      </c>
      <c r="G127" t="str">
        <f t="shared" si="6"/>
        <v>No</v>
      </c>
      <c r="H127" t="s">
        <v>27</v>
      </c>
      <c r="I127" t="s">
        <v>28</v>
      </c>
      <c r="J127" s="1">
        <v>27151</v>
      </c>
      <c r="K127" s="2">
        <f t="shared" ca="1" si="7"/>
        <v>52</v>
      </c>
      <c r="L127" t="s">
        <v>49</v>
      </c>
      <c r="M127" t="s">
        <v>41</v>
      </c>
      <c r="N127" t="s">
        <v>31</v>
      </c>
      <c r="O127" t="s">
        <v>32</v>
      </c>
      <c r="P127" t="s">
        <v>33</v>
      </c>
      <c r="Q127" s="1">
        <v>41771</v>
      </c>
      <c r="S127" s="2">
        <f t="shared" ca="1" si="8"/>
        <v>11.898630136986302</v>
      </c>
      <c r="T127" s="2" t="str">
        <f t="shared" ca="1" si="9"/>
        <v>10+ Years</v>
      </c>
      <c r="U127" t="s">
        <v>34</v>
      </c>
      <c r="V127" t="s">
        <v>35</v>
      </c>
      <c r="W127" t="s">
        <v>36</v>
      </c>
      <c r="X127" t="s">
        <v>57</v>
      </c>
      <c r="Y127" t="s">
        <v>84</v>
      </c>
      <c r="Z127" t="s">
        <v>39</v>
      </c>
      <c r="AA127">
        <v>4.76</v>
      </c>
      <c r="AB127">
        <v>4</v>
      </c>
      <c r="AC127">
        <v>0</v>
      </c>
      <c r="AD127" s="1">
        <v>43511</v>
      </c>
      <c r="AE127">
        <v>0</v>
      </c>
      <c r="AF127">
        <v>5</v>
      </c>
    </row>
    <row r="128" spans="1:32" x14ac:dyDescent="0.3">
      <c r="A128" t="s">
        <v>293</v>
      </c>
      <c r="B128">
        <v>1</v>
      </c>
      <c r="C128">
        <v>5</v>
      </c>
      <c r="D128">
        <v>46998</v>
      </c>
      <c r="E128" t="str">
        <f t="shared" si="5"/>
        <v>Medium</v>
      </c>
      <c r="F128">
        <v>0</v>
      </c>
      <c r="G128" t="str">
        <f t="shared" si="6"/>
        <v>No</v>
      </c>
      <c r="H128" t="s">
        <v>27</v>
      </c>
      <c r="I128" t="s">
        <v>28</v>
      </c>
      <c r="J128" s="1">
        <v>30685</v>
      </c>
      <c r="K128" s="2">
        <f t="shared" ca="1" si="7"/>
        <v>42</v>
      </c>
      <c r="L128" t="s">
        <v>29</v>
      </c>
      <c r="M128" t="s">
        <v>30</v>
      </c>
      <c r="N128" t="s">
        <v>31</v>
      </c>
      <c r="O128" t="s">
        <v>32</v>
      </c>
      <c r="P128" t="s">
        <v>33</v>
      </c>
      <c r="Q128" s="1">
        <v>41134</v>
      </c>
      <c r="S128" s="2">
        <f t="shared" ca="1" si="8"/>
        <v>13.643835616438356</v>
      </c>
      <c r="T128" s="2" t="str">
        <f t="shared" ca="1" si="9"/>
        <v>10+ Years</v>
      </c>
      <c r="U128" t="s">
        <v>34</v>
      </c>
      <c r="V128" t="s">
        <v>35</v>
      </c>
      <c r="W128" t="s">
        <v>36</v>
      </c>
      <c r="X128" t="s">
        <v>62</v>
      </c>
      <c r="Y128" t="s">
        <v>56</v>
      </c>
      <c r="Z128" t="s">
        <v>47</v>
      </c>
      <c r="AA128">
        <v>4.17</v>
      </c>
      <c r="AB128">
        <v>4</v>
      </c>
      <c r="AC128">
        <v>0</v>
      </c>
      <c r="AD128" s="1">
        <v>43507</v>
      </c>
      <c r="AE128">
        <v>0</v>
      </c>
      <c r="AF128">
        <v>1</v>
      </c>
    </row>
    <row r="129" spans="1:32" x14ac:dyDescent="0.3">
      <c r="A129" t="s">
        <v>294</v>
      </c>
      <c r="B129">
        <v>5</v>
      </c>
      <c r="C129">
        <v>5</v>
      </c>
      <c r="D129">
        <v>68099</v>
      </c>
      <c r="E129" t="str">
        <f t="shared" si="5"/>
        <v>High</v>
      </c>
      <c r="F129">
        <v>1</v>
      </c>
      <c r="G129" t="str">
        <f t="shared" si="6"/>
        <v>Yes</v>
      </c>
      <c r="H129" t="s">
        <v>48</v>
      </c>
      <c r="I129" t="s">
        <v>28</v>
      </c>
      <c r="J129" s="1">
        <v>26538</v>
      </c>
      <c r="K129" s="2">
        <f t="shared" ca="1" si="7"/>
        <v>54</v>
      </c>
      <c r="L129" t="s">
        <v>49</v>
      </c>
      <c r="M129" t="s">
        <v>30</v>
      </c>
      <c r="N129" t="s">
        <v>31</v>
      </c>
      <c r="O129" t="s">
        <v>32</v>
      </c>
      <c r="P129" t="s">
        <v>33</v>
      </c>
      <c r="Q129" s="1">
        <v>40553</v>
      </c>
      <c r="R129" s="1">
        <v>41443</v>
      </c>
      <c r="S129" s="2">
        <f t="shared" ca="1" si="8"/>
        <v>2.4383561643835616</v>
      </c>
      <c r="T129" s="2" t="str">
        <f t="shared" ca="1" si="9"/>
        <v>3-5 Years</v>
      </c>
      <c r="U129" t="s">
        <v>50</v>
      </c>
      <c r="V129" t="s">
        <v>43</v>
      </c>
      <c r="W129" t="s">
        <v>36</v>
      </c>
      <c r="X129" t="s">
        <v>76</v>
      </c>
      <c r="Y129" t="s">
        <v>84</v>
      </c>
      <c r="Z129" t="s">
        <v>47</v>
      </c>
      <c r="AA129">
        <v>5</v>
      </c>
      <c r="AB129">
        <v>3</v>
      </c>
      <c r="AC129">
        <v>0</v>
      </c>
      <c r="AD129" s="1">
        <v>41304</v>
      </c>
      <c r="AE129">
        <v>0</v>
      </c>
      <c r="AF129">
        <v>15</v>
      </c>
    </row>
    <row r="130" spans="1:32" x14ac:dyDescent="0.3">
      <c r="A130" t="s">
        <v>295</v>
      </c>
      <c r="B130">
        <v>1</v>
      </c>
      <c r="C130">
        <v>6</v>
      </c>
      <c r="D130">
        <v>70545</v>
      </c>
      <c r="E130" t="str">
        <f t="shared" si="5"/>
        <v>High</v>
      </c>
      <c r="F130">
        <v>0</v>
      </c>
      <c r="G130" t="str">
        <f t="shared" si="6"/>
        <v>No</v>
      </c>
      <c r="H130" t="s">
        <v>97</v>
      </c>
      <c r="I130" t="s">
        <v>134</v>
      </c>
      <c r="J130" s="1">
        <v>32400</v>
      </c>
      <c r="K130" s="2">
        <f t="shared" ca="1" si="7"/>
        <v>38</v>
      </c>
      <c r="L130" t="s">
        <v>29</v>
      </c>
      <c r="M130" t="s">
        <v>41</v>
      </c>
      <c r="N130" t="s">
        <v>31</v>
      </c>
      <c r="O130" t="s">
        <v>32</v>
      </c>
      <c r="P130" t="s">
        <v>132</v>
      </c>
      <c r="Q130" s="1">
        <v>41869</v>
      </c>
      <c r="S130" s="2">
        <f t="shared" ca="1" si="8"/>
        <v>11.63013698630137</v>
      </c>
      <c r="T130" s="2" t="str">
        <f t="shared" ca="1" si="9"/>
        <v>10+ Years</v>
      </c>
      <c r="U130" t="s">
        <v>34</v>
      </c>
      <c r="V130" t="s">
        <v>35</v>
      </c>
      <c r="W130" t="s">
        <v>99</v>
      </c>
      <c r="X130" t="s">
        <v>100</v>
      </c>
      <c r="Y130" t="s">
        <v>46</v>
      </c>
      <c r="Z130" t="s">
        <v>47</v>
      </c>
      <c r="AA130">
        <v>3.6</v>
      </c>
      <c r="AB130">
        <v>5</v>
      </c>
      <c r="AC130">
        <v>0</v>
      </c>
      <c r="AD130" s="1">
        <v>43495</v>
      </c>
      <c r="AE130">
        <v>0</v>
      </c>
      <c r="AF130">
        <v>9</v>
      </c>
    </row>
    <row r="131" spans="1:32" x14ac:dyDescent="0.3">
      <c r="A131" t="s">
        <v>296</v>
      </c>
      <c r="B131">
        <v>5</v>
      </c>
      <c r="C131">
        <v>5</v>
      </c>
      <c r="D131">
        <v>63478</v>
      </c>
      <c r="E131" t="str">
        <f t="shared" ref="E131:E194" si="10">IF(D131&lt;30000,"Low",IF(D131&lt;60000,"Medium", "High"))</f>
        <v>High</v>
      </c>
      <c r="F131">
        <v>1</v>
      </c>
      <c r="G131" t="str">
        <f t="shared" ref="G131:G194" si="11">IF(F131=1,"Yes", "No")</f>
        <v>Yes</v>
      </c>
      <c r="H131" t="s">
        <v>48</v>
      </c>
      <c r="I131" t="s">
        <v>28</v>
      </c>
      <c r="J131" s="1">
        <v>30728</v>
      </c>
      <c r="K131" s="2">
        <f t="shared" ref="K131:K194" ca="1" si="12">YEAR(TODAY())-YEAR(J131)</f>
        <v>42</v>
      </c>
      <c r="L131" t="s">
        <v>49</v>
      </c>
      <c r="M131" t="s">
        <v>41</v>
      </c>
      <c r="N131" t="s">
        <v>107</v>
      </c>
      <c r="O131" t="s">
        <v>32</v>
      </c>
      <c r="P131" t="s">
        <v>33</v>
      </c>
      <c r="Q131" s="1">
        <v>40770</v>
      </c>
      <c r="R131" s="1">
        <v>41006</v>
      </c>
      <c r="S131" s="2">
        <f t="shared" ref="S131:S194" ca="1" si="13">IF(ISBLANK(R131), (TODAY()-Q131)/365,(R131-Q131)/365)</f>
        <v>0.64657534246575343</v>
      </c>
      <c r="T131" s="2" t="str">
        <f t="shared" ref="T131:T194" ca="1" si="14">IF(S131&lt;=2,"0-2 Years", IF(S131&lt;=5,"3-5 Years", IF(S131&lt;=10,"6-10 Years", "10+ Years")))</f>
        <v>0-2 Years</v>
      </c>
      <c r="U131" t="s">
        <v>106</v>
      </c>
      <c r="V131" t="s">
        <v>43</v>
      </c>
      <c r="W131" t="s">
        <v>36</v>
      </c>
      <c r="X131" t="s">
        <v>37</v>
      </c>
      <c r="Y131" t="s">
        <v>46</v>
      </c>
      <c r="Z131" t="s">
        <v>47</v>
      </c>
      <c r="AA131">
        <v>3.03</v>
      </c>
      <c r="AB131">
        <v>5</v>
      </c>
      <c r="AC131">
        <v>0</v>
      </c>
      <c r="AD131" s="1">
        <v>40973</v>
      </c>
      <c r="AE131">
        <v>0</v>
      </c>
      <c r="AF131">
        <v>16</v>
      </c>
    </row>
    <row r="132" spans="1:32" x14ac:dyDescent="0.3">
      <c r="A132" t="s">
        <v>297</v>
      </c>
      <c r="B132">
        <v>1</v>
      </c>
      <c r="C132">
        <v>3</v>
      </c>
      <c r="D132">
        <v>97999</v>
      </c>
      <c r="E132" t="str">
        <f t="shared" si="10"/>
        <v>High</v>
      </c>
      <c r="F132">
        <v>0</v>
      </c>
      <c r="G132" t="str">
        <f t="shared" si="11"/>
        <v>No</v>
      </c>
      <c r="H132" t="s">
        <v>81</v>
      </c>
      <c r="I132" t="s">
        <v>28</v>
      </c>
      <c r="J132" s="1">
        <v>30733</v>
      </c>
      <c r="K132" s="2">
        <f t="shared" ca="1" si="12"/>
        <v>42</v>
      </c>
      <c r="L132" t="s">
        <v>49</v>
      </c>
      <c r="M132" t="s">
        <v>30</v>
      </c>
      <c r="N132" t="s">
        <v>31</v>
      </c>
      <c r="O132" t="s">
        <v>32</v>
      </c>
      <c r="P132" t="s">
        <v>33</v>
      </c>
      <c r="Q132" s="1">
        <v>42093</v>
      </c>
      <c r="S132" s="2">
        <f t="shared" ca="1" si="13"/>
        <v>11.016438356164384</v>
      </c>
      <c r="T132" s="2" t="str">
        <f t="shared" ca="1" si="14"/>
        <v>10+ Years</v>
      </c>
      <c r="U132" t="s">
        <v>34</v>
      </c>
      <c r="V132" t="s">
        <v>35</v>
      </c>
      <c r="W132" t="s">
        <v>44</v>
      </c>
      <c r="X132" t="s">
        <v>45</v>
      </c>
      <c r="Y132" t="s">
        <v>46</v>
      </c>
      <c r="Z132" t="s">
        <v>47</v>
      </c>
      <c r="AA132">
        <v>4.4800000000000004</v>
      </c>
      <c r="AB132">
        <v>5</v>
      </c>
      <c r="AC132">
        <v>6</v>
      </c>
      <c r="AD132" s="1">
        <v>43468</v>
      </c>
      <c r="AE132">
        <v>0</v>
      </c>
      <c r="AF132">
        <v>4</v>
      </c>
    </row>
    <row r="133" spans="1:32" x14ac:dyDescent="0.3">
      <c r="A133" t="s">
        <v>298</v>
      </c>
      <c r="B133">
        <v>1</v>
      </c>
      <c r="C133">
        <v>6</v>
      </c>
      <c r="D133">
        <v>180000</v>
      </c>
      <c r="E133" t="str">
        <f t="shared" si="10"/>
        <v>High</v>
      </c>
      <c r="F133">
        <v>0</v>
      </c>
      <c r="G133" t="str">
        <f t="shared" si="11"/>
        <v>No</v>
      </c>
      <c r="H133" t="s">
        <v>135</v>
      </c>
      <c r="I133" t="s">
        <v>136</v>
      </c>
      <c r="J133" s="1">
        <v>24183</v>
      </c>
      <c r="K133" s="2">
        <f t="shared" ca="1" si="12"/>
        <v>60</v>
      </c>
      <c r="L133" t="s">
        <v>49</v>
      </c>
      <c r="M133" t="s">
        <v>41</v>
      </c>
      <c r="N133" t="s">
        <v>31</v>
      </c>
      <c r="O133" t="s">
        <v>32</v>
      </c>
      <c r="P133" t="s">
        <v>33</v>
      </c>
      <c r="Q133" s="1">
        <v>41764</v>
      </c>
      <c r="S133" s="2">
        <f t="shared" ca="1" si="13"/>
        <v>11.917808219178083</v>
      </c>
      <c r="T133" s="2" t="str">
        <f t="shared" ca="1" si="14"/>
        <v>10+ Years</v>
      </c>
      <c r="U133" t="s">
        <v>34</v>
      </c>
      <c r="V133" t="s">
        <v>35</v>
      </c>
      <c r="W133" t="s">
        <v>99</v>
      </c>
      <c r="X133" t="s">
        <v>94</v>
      </c>
      <c r="Y133" t="s">
        <v>38</v>
      </c>
      <c r="Z133" t="s">
        <v>47</v>
      </c>
      <c r="AA133">
        <v>4.5</v>
      </c>
      <c r="AB133">
        <v>4</v>
      </c>
      <c r="AC133">
        <v>0</v>
      </c>
      <c r="AD133" s="1">
        <v>43486</v>
      </c>
      <c r="AE133">
        <v>0</v>
      </c>
      <c r="AF133">
        <v>19</v>
      </c>
    </row>
    <row r="134" spans="1:32" x14ac:dyDescent="0.3">
      <c r="A134" t="s">
        <v>299</v>
      </c>
      <c r="B134">
        <v>1</v>
      </c>
      <c r="C134">
        <v>1</v>
      </c>
      <c r="D134">
        <v>49920</v>
      </c>
      <c r="E134" t="str">
        <f t="shared" si="10"/>
        <v>Medium</v>
      </c>
      <c r="F134">
        <v>1</v>
      </c>
      <c r="G134" t="str">
        <f t="shared" si="11"/>
        <v>Yes</v>
      </c>
      <c r="H134" t="s">
        <v>137</v>
      </c>
      <c r="I134" t="s">
        <v>28</v>
      </c>
      <c r="J134" s="1">
        <v>31306</v>
      </c>
      <c r="K134" s="2">
        <f t="shared" ca="1" si="12"/>
        <v>41</v>
      </c>
      <c r="L134" t="s">
        <v>49</v>
      </c>
      <c r="M134" t="s">
        <v>41</v>
      </c>
      <c r="N134" t="s">
        <v>31</v>
      </c>
      <c r="O134" t="s">
        <v>32</v>
      </c>
      <c r="P134" t="s">
        <v>64</v>
      </c>
      <c r="Q134" s="1">
        <v>42051</v>
      </c>
      <c r="R134" s="1">
        <v>42109</v>
      </c>
      <c r="S134" s="2">
        <f t="shared" ca="1" si="13"/>
        <v>0.15890410958904111</v>
      </c>
      <c r="T134" s="2" t="str">
        <f t="shared" ca="1" si="14"/>
        <v>0-2 Years</v>
      </c>
      <c r="U134" t="s">
        <v>123</v>
      </c>
      <c r="V134" t="s">
        <v>79</v>
      </c>
      <c r="W134" t="s">
        <v>90</v>
      </c>
      <c r="X134" t="s">
        <v>91</v>
      </c>
      <c r="Y134" t="s">
        <v>46</v>
      </c>
      <c r="Z134" t="s">
        <v>47</v>
      </c>
      <c r="AA134">
        <v>3.24</v>
      </c>
      <c r="AB134">
        <v>3</v>
      </c>
      <c r="AC134">
        <v>4</v>
      </c>
      <c r="AD134" s="1">
        <v>42109</v>
      </c>
      <c r="AE134">
        <v>0</v>
      </c>
      <c r="AF134">
        <v>6</v>
      </c>
    </row>
    <row r="135" spans="1:32" x14ac:dyDescent="0.3">
      <c r="A135" t="s">
        <v>300</v>
      </c>
      <c r="B135">
        <v>1</v>
      </c>
      <c r="C135">
        <v>5</v>
      </c>
      <c r="D135">
        <v>55425</v>
      </c>
      <c r="E135" t="str">
        <f t="shared" si="10"/>
        <v>Medium</v>
      </c>
      <c r="F135">
        <v>0</v>
      </c>
      <c r="G135" t="str">
        <f t="shared" si="11"/>
        <v>No</v>
      </c>
      <c r="H135" t="s">
        <v>27</v>
      </c>
      <c r="I135" t="s">
        <v>28</v>
      </c>
      <c r="J135" s="1">
        <v>31573</v>
      </c>
      <c r="K135" s="2">
        <f t="shared" ca="1" si="12"/>
        <v>40</v>
      </c>
      <c r="L135" t="s">
        <v>49</v>
      </c>
      <c r="M135" t="s">
        <v>30</v>
      </c>
      <c r="N135" t="s">
        <v>31</v>
      </c>
      <c r="O135" t="s">
        <v>32</v>
      </c>
      <c r="P135" t="s">
        <v>33</v>
      </c>
      <c r="Q135" s="1">
        <v>40959</v>
      </c>
      <c r="S135" s="2">
        <f t="shared" ca="1" si="13"/>
        <v>14.123287671232877</v>
      </c>
      <c r="T135" s="2" t="str">
        <f t="shared" ca="1" si="14"/>
        <v>10+ Years</v>
      </c>
      <c r="U135" t="s">
        <v>34</v>
      </c>
      <c r="V135" t="s">
        <v>35</v>
      </c>
      <c r="W135" t="s">
        <v>36</v>
      </c>
      <c r="X135" t="s">
        <v>62</v>
      </c>
      <c r="Y135" t="s">
        <v>38</v>
      </c>
      <c r="Z135" t="s">
        <v>47</v>
      </c>
      <c r="AA135">
        <v>4.8</v>
      </c>
      <c r="AB135">
        <v>4</v>
      </c>
      <c r="AC135">
        <v>0</v>
      </c>
      <c r="AD135" s="1">
        <v>43472</v>
      </c>
      <c r="AE135">
        <v>0</v>
      </c>
      <c r="AF135">
        <v>4</v>
      </c>
    </row>
    <row r="136" spans="1:32" x14ac:dyDescent="0.3">
      <c r="A136" t="s">
        <v>301</v>
      </c>
      <c r="B136">
        <v>2</v>
      </c>
      <c r="C136">
        <v>5</v>
      </c>
      <c r="D136">
        <v>69340</v>
      </c>
      <c r="E136" t="str">
        <f t="shared" si="10"/>
        <v>High</v>
      </c>
      <c r="F136">
        <v>0</v>
      </c>
      <c r="G136" t="str">
        <f t="shared" si="11"/>
        <v>No</v>
      </c>
      <c r="H136" t="s">
        <v>48</v>
      </c>
      <c r="I136" t="s">
        <v>28</v>
      </c>
      <c r="J136" s="1">
        <v>30752</v>
      </c>
      <c r="K136" s="2">
        <f t="shared" ca="1" si="12"/>
        <v>42</v>
      </c>
      <c r="L136" t="s">
        <v>49</v>
      </c>
      <c r="M136" t="s">
        <v>30</v>
      </c>
      <c r="N136" t="s">
        <v>31</v>
      </c>
      <c r="O136" t="s">
        <v>32</v>
      </c>
      <c r="P136" t="s">
        <v>33</v>
      </c>
      <c r="Q136" s="1">
        <v>42527</v>
      </c>
      <c r="S136" s="2">
        <f t="shared" ca="1" si="13"/>
        <v>9.8273972602739725</v>
      </c>
      <c r="T136" s="2" t="str">
        <f t="shared" ca="1" si="14"/>
        <v>6-10 Years</v>
      </c>
      <c r="U136" t="s">
        <v>34</v>
      </c>
      <c r="V136" t="s">
        <v>35</v>
      </c>
      <c r="W136" t="s">
        <v>36</v>
      </c>
      <c r="X136" t="s">
        <v>52</v>
      </c>
      <c r="Y136" t="s">
        <v>38</v>
      </c>
      <c r="Z136" t="s">
        <v>47</v>
      </c>
      <c r="AA136">
        <v>3</v>
      </c>
      <c r="AB136">
        <v>5</v>
      </c>
      <c r="AC136">
        <v>0</v>
      </c>
      <c r="AD136" s="1">
        <v>43483</v>
      </c>
      <c r="AE136">
        <v>0</v>
      </c>
      <c r="AF136">
        <v>4</v>
      </c>
    </row>
    <row r="137" spans="1:32" x14ac:dyDescent="0.3">
      <c r="A137" t="s">
        <v>302</v>
      </c>
      <c r="B137">
        <v>2</v>
      </c>
      <c r="C137">
        <v>5</v>
      </c>
      <c r="D137">
        <v>64995</v>
      </c>
      <c r="E137" t="str">
        <f t="shared" si="10"/>
        <v>High</v>
      </c>
      <c r="F137">
        <v>0</v>
      </c>
      <c r="G137" t="str">
        <f t="shared" si="11"/>
        <v>No</v>
      </c>
      <c r="H137" t="s">
        <v>48</v>
      </c>
      <c r="I137" t="s">
        <v>28</v>
      </c>
      <c r="J137" s="1">
        <v>33731</v>
      </c>
      <c r="K137" s="2">
        <f t="shared" ca="1" si="12"/>
        <v>34</v>
      </c>
      <c r="L137" t="s">
        <v>49</v>
      </c>
      <c r="M137" t="s">
        <v>96</v>
      </c>
      <c r="N137" t="s">
        <v>31</v>
      </c>
      <c r="O137" t="s">
        <v>32</v>
      </c>
      <c r="P137" t="s">
        <v>33</v>
      </c>
      <c r="Q137" s="1">
        <v>42160</v>
      </c>
      <c r="S137" s="2">
        <f t="shared" ca="1" si="13"/>
        <v>10.832876712328767</v>
      </c>
      <c r="T137" s="2" t="str">
        <f t="shared" ca="1" si="14"/>
        <v>10+ Years</v>
      </c>
      <c r="U137" t="s">
        <v>34</v>
      </c>
      <c r="V137" t="s">
        <v>35</v>
      </c>
      <c r="W137" t="s">
        <v>36</v>
      </c>
      <c r="X137" t="s">
        <v>55</v>
      </c>
      <c r="Y137" t="s">
        <v>46</v>
      </c>
      <c r="Z137" t="s">
        <v>47</v>
      </c>
      <c r="AA137">
        <v>4.5</v>
      </c>
      <c r="AB137">
        <v>3</v>
      </c>
      <c r="AC137">
        <v>0</v>
      </c>
      <c r="AD137" s="1">
        <v>43510</v>
      </c>
      <c r="AE137">
        <v>0</v>
      </c>
      <c r="AF137">
        <v>6</v>
      </c>
    </row>
    <row r="138" spans="1:32" x14ac:dyDescent="0.3">
      <c r="A138" t="s">
        <v>303</v>
      </c>
      <c r="B138">
        <v>5</v>
      </c>
      <c r="C138">
        <v>5</v>
      </c>
      <c r="D138">
        <v>68182</v>
      </c>
      <c r="E138" t="str">
        <f t="shared" si="10"/>
        <v>High</v>
      </c>
      <c r="F138">
        <v>1</v>
      </c>
      <c r="G138" t="str">
        <f t="shared" si="11"/>
        <v>Yes</v>
      </c>
      <c r="H138" t="s">
        <v>48</v>
      </c>
      <c r="I138" t="s">
        <v>28</v>
      </c>
      <c r="J138" s="1">
        <v>28025</v>
      </c>
      <c r="K138" s="2">
        <f t="shared" ca="1" si="12"/>
        <v>50</v>
      </c>
      <c r="L138" t="s">
        <v>49</v>
      </c>
      <c r="M138" t="s">
        <v>53</v>
      </c>
      <c r="N138" t="s">
        <v>31</v>
      </c>
      <c r="O138" t="s">
        <v>32</v>
      </c>
      <c r="P138" t="s">
        <v>33</v>
      </c>
      <c r="Q138" s="1">
        <v>40595</v>
      </c>
      <c r="R138" s="1">
        <v>41365</v>
      </c>
      <c r="S138" s="2">
        <f t="shared" ca="1" si="13"/>
        <v>2.1095890410958904</v>
      </c>
      <c r="T138" s="2" t="str">
        <f t="shared" ca="1" si="14"/>
        <v>3-5 Years</v>
      </c>
      <c r="U138" t="s">
        <v>72</v>
      </c>
      <c r="V138" t="s">
        <v>43</v>
      </c>
      <c r="W138" t="s">
        <v>36</v>
      </c>
      <c r="X138" t="s">
        <v>57</v>
      </c>
      <c r="Y138" t="s">
        <v>56</v>
      </c>
      <c r="Z138" t="s">
        <v>47</v>
      </c>
      <c r="AA138">
        <v>3.72</v>
      </c>
      <c r="AB138">
        <v>3</v>
      </c>
      <c r="AC138">
        <v>0</v>
      </c>
      <c r="AD138" s="1">
        <v>41306</v>
      </c>
      <c r="AE138">
        <v>0</v>
      </c>
      <c r="AF138">
        <v>18</v>
      </c>
    </row>
    <row r="139" spans="1:32" x14ac:dyDescent="0.3">
      <c r="A139" t="s">
        <v>304</v>
      </c>
      <c r="B139">
        <v>5</v>
      </c>
      <c r="C139">
        <v>5</v>
      </c>
      <c r="D139">
        <v>83082</v>
      </c>
      <c r="E139" t="str">
        <f t="shared" si="10"/>
        <v>High</v>
      </c>
      <c r="F139">
        <v>1</v>
      </c>
      <c r="G139" t="str">
        <f t="shared" si="11"/>
        <v>Yes</v>
      </c>
      <c r="H139" t="s">
        <v>92</v>
      </c>
      <c r="I139" t="s">
        <v>28</v>
      </c>
      <c r="J139" s="1">
        <v>28079</v>
      </c>
      <c r="K139" s="2">
        <f t="shared" ca="1" si="12"/>
        <v>50</v>
      </c>
      <c r="L139" t="s">
        <v>29</v>
      </c>
      <c r="M139" t="s">
        <v>41</v>
      </c>
      <c r="N139" t="s">
        <v>31</v>
      </c>
      <c r="O139" t="s">
        <v>32</v>
      </c>
      <c r="P139" t="s">
        <v>83</v>
      </c>
      <c r="Q139" s="1">
        <v>40595</v>
      </c>
      <c r="R139" s="1">
        <v>41176</v>
      </c>
      <c r="S139" s="2">
        <f t="shared" ca="1" si="13"/>
        <v>1.5917808219178082</v>
      </c>
      <c r="T139" s="2" t="str">
        <f t="shared" ca="1" si="14"/>
        <v>0-2 Years</v>
      </c>
      <c r="U139" t="s">
        <v>72</v>
      </c>
      <c r="V139" t="s">
        <v>43</v>
      </c>
      <c r="W139" t="s">
        <v>36</v>
      </c>
      <c r="X139" t="s">
        <v>94</v>
      </c>
      <c r="Y139" t="s">
        <v>46</v>
      </c>
      <c r="Z139" t="s">
        <v>85</v>
      </c>
      <c r="AA139">
        <v>2.34</v>
      </c>
      <c r="AB139">
        <v>2</v>
      </c>
      <c r="AC139">
        <v>0</v>
      </c>
      <c r="AD139" s="1">
        <v>41011</v>
      </c>
      <c r="AE139">
        <v>3</v>
      </c>
      <c r="AF139">
        <v>4</v>
      </c>
    </row>
    <row r="140" spans="1:32" x14ac:dyDescent="0.3">
      <c r="A140" t="s">
        <v>305</v>
      </c>
      <c r="B140">
        <v>1</v>
      </c>
      <c r="C140">
        <v>5</v>
      </c>
      <c r="D140">
        <v>51908</v>
      </c>
      <c r="E140" t="str">
        <f t="shared" si="10"/>
        <v>Medium</v>
      </c>
      <c r="F140">
        <v>0</v>
      </c>
      <c r="G140" t="str">
        <f t="shared" si="11"/>
        <v>No</v>
      </c>
      <c r="H140" t="s">
        <v>27</v>
      </c>
      <c r="I140" t="s">
        <v>28</v>
      </c>
      <c r="J140" s="1">
        <v>33266</v>
      </c>
      <c r="K140" s="2">
        <f t="shared" ca="1" si="12"/>
        <v>35</v>
      </c>
      <c r="L140" t="s">
        <v>49</v>
      </c>
      <c r="M140" t="s">
        <v>30</v>
      </c>
      <c r="N140" t="s">
        <v>31</v>
      </c>
      <c r="O140" t="s">
        <v>32</v>
      </c>
      <c r="P140" t="s">
        <v>33</v>
      </c>
      <c r="Q140" s="1">
        <v>41505</v>
      </c>
      <c r="S140" s="2">
        <f t="shared" ca="1" si="13"/>
        <v>12.627397260273973</v>
      </c>
      <c r="T140" s="2" t="str">
        <f t="shared" ca="1" si="14"/>
        <v>10+ Years</v>
      </c>
      <c r="U140" t="s">
        <v>34</v>
      </c>
      <c r="V140" t="s">
        <v>35</v>
      </c>
      <c r="W140" t="s">
        <v>36</v>
      </c>
      <c r="X140" t="s">
        <v>65</v>
      </c>
      <c r="Y140" t="s">
        <v>46</v>
      </c>
      <c r="Z140" t="s">
        <v>47</v>
      </c>
      <c r="AA140">
        <v>3.99</v>
      </c>
      <c r="AB140">
        <v>3</v>
      </c>
      <c r="AC140">
        <v>0</v>
      </c>
      <c r="AD140" s="1">
        <v>43479</v>
      </c>
      <c r="AE140">
        <v>0</v>
      </c>
      <c r="AF140">
        <v>14</v>
      </c>
    </row>
    <row r="141" spans="1:32" x14ac:dyDescent="0.3">
      <c r="A141" t="s">
        <v>306</v>
      </c>
      <c r="B141">
        <v>1</v>
      </c>
      <c r="C141">
        <v>5</v>
      </c>
      <c r="D141">
        <v>61242</v>
      </c>
      <c r="E141" t="str">
        <f t="shared" si="10"/>
        <v>High</v>
      </c>
      <c r="F141">
        <v>0</v>
      </c>
      <c r="G141" t="str">
        <f t="shared" si="11"/>
        <v>No</v>
      </c>
      <c r="H141" t="s">
        <v>27</v>
      </c>
      <c r="I141" t="s">
        <v>28</v>
      </c>
      <c r="J141" s="1">
        <v>26553</v>
      </c>
      <c r="K141" s="2">
        <f t="shared" ca="1" si="12"/>
        <v>54</v>
      </c>
      <c r="L141" t="s">
        <v>49</v>
      </c>
      <c r="M141" t="s">
        <v>30</v>
      </c>
      <c r="N141" t="s">
        <v>31</v>
      </c>
      <c r="O141" t="s">
        <v>32</v>
      </c>
      <c r="P141" t="s">
        <v>64</v>
      </c>
      <c r="Q141" s="1">
        <v>41218</v>
      </c>
      <c r="S141" s="2">
        <f t="shared" ca="1" si="13"/>
        <v>13.413698630136986</v>
      </c>
      <c r="T141" s="2" t="str">
        <f t="shared" ca="1" si="14"/>
        <v>10+ Years</v>
      </c>
      <c r="U141" t="s">
        <v>34</v>
      </c>
      <c r="V141" t="s">
        <v>35</v>
      </c>
      <c r="W141" t="s">
        <v>36</v>
      </c>
      <c r="X141" t="s">
        <v>71</v>
      </c>
      <c r="Y141" t="s">
        <v>38</v>
      </c>
      <c r="Z141" t="s">
        <v>47</v>
      </c>
      <c r="AA141">
        <v>4.0999999999999996</v>
      </c>
      <c r="AB141">
        <v>3</v>
      </c>
      <c r="AC141">
        <v>0</v>
      </c>
      <c r="AD141" s="1">
        <v>43482</v>
      </c>
      <c r="AE141">
        <v>0</v>
      </c>
      <c r="AF141">
        <v>7</v>
      </c>
    </row>
    <row r="142" spans="1:32" x14ac:dyDescent="0.3">
      <c r="A142" t="s">
        <v>307</v>
      </c>
      <c r="B142">
        <v>1</v>
      </c>
      <c r="C142">
        <v>5</v>
      </c>
      <c r="D142">
        <v>45069</v>
      </c>
      <c r="E142" t="str">
        <f t="shared" si="10"/>
        <v>Medium</v>
      </c>
      <c r="F142">
        <v>0</v>
      </c>
      <c r="G142" t="str">
        <f t="shared" si="11"/>
        <v>No</v>
      </c>
      <c r="H142" t="s">
        <v>27</v>
      </c>
      <c r="I142" t="s">
        <v>28</v>
      </c>
      <c r="J142" s="1">
        <v>24188</v>
      </c>
      <c r="K142" s="2">
        <f t="shared" ca="1" si="12"/>
        <v>60</v>
      </c>
      <c r="L142" t="s">
        <v>49</v>
      </c>
      <c r="M142" t="s">
        <v>53</v>
      </c>
      <c r="N142" t="s">
        <v>31</v>
      </c>
      <c r="O142" t="s">
        <v>32</v>
      </c>
      <c r="P142" t="s">
        <v>33</v>
      </c>
      <c r="Q142" s="1">
        <v>41547</v>
      </c>
      <c r="S142" s="2">
        <f t="shared" ca="1" si="13"/>
        <v>12.512328767123288</v>
      </c>
      <c r="T142" s="2" t="str">
        <f t="shared" ca="1" si="14"/>
        <v>10+ Years</v>
      </c>
      <c r="U142" t="s">
        <v>34</v>
      </c>
      <c r="V142" t="s">
        <v>35</v>
      </c>
      <c r="W142" t="s">
        <v>36</v>
      </c>
      <c r="X142" t="s">
        <v>51</v>
      </c>
      <c r="Y142" t="s">
        <v>63</v>
      </c>
      <c r="Z142" t="s">
        <v>47</v>
      </c>
      <c r="AA142">
        <v>4.3</v>
      </c>
      <c r="AB142">
        <v>5</v>
      </c>
      <c r="AC142">
        <v>0</v>
      </c>
      <c r="AD142" s="1">
        <v>43518</v>
      </c>
      <c r="AE142">
        <v>0</v>
      </c>
      <c r="AF142">
        <v>7</v>
      </c>
    </row>
    <row r="143" spans="1:32" x14ac:dyDescent="0.3">
      <c r="A143" t="s">
        <v>308</v>
      </c>
      <c r="B143">
        <v>1</v>
      </c>
      <c r="C143">
        <v>5</v>
      </c>
      <c r="D143">
        <v>60724</v>
      </c>
      <c r="E143" t="str">
        <f t="shared" si="10"/>
        <v>High</v>
      </c>
      <c r="F143">
        <v>0</v>
      </c>
      <c r="G143" t="str">
        <f t="shared" si="11"/>
        <v>No</v>
      </c>
      <c r="H143" t="s">
        <v>48</v>
      </c>
      <c r="I143" t="s">
        <v>28</v>
      </c>
      <c r="J143" s="1">
        <v>31722</v>
      </c>
      <c r="K143" s="2">
        <f t="shared" ca="1" si="12"/>
        <v>40</v>
      </c>
      <c r="L143" t="s">
        <v>49</v>
      </c>
      <c r="M143" t="s">
        <v>53</v>
      </c>
      <c r="N143" t="s">
        <v>31</v>
      </c>
      <c r="O143" t="s">
        <v>32</v>
      </c>
      <c r="P143" t="s">
        <v>132</v>
      </c>
      <c r="Q143" s="1">
        <v>40729</v>
      </c>
      <c r="S143" s="2">
        <f t="shared" ca="1" si="13"/>
        <v>14.753424657534246</v>
      </c>
      <c r="T143" s="2" t="str">
        <f t="shared" ca="1" si="14"/>
        <v>10+ Years</v>
      </c>
      <c r="U143" t="s">
        <v>34</v>
      </c>
      <c r="V143" t="s">
        <v>35</v>
      </c>
      <c r="W143" t="s">
        <v>36</v>
      </c>
      <c r="X143" t="s">
        <v>62</v>
      </c>
      <c r="Y143" t="s">
        <v>38</v>
      </c>
      <c r="Z143" t="s">
        <v>39</v>
      </c>
      <c r="AA143">
        <v>4.5999999999999996</v>
      </c>
      <c r="AB143">
        <v>4</v>
      </c>
      <c r="AC143">
        <v>0</v>
      </c>
      <c r="AD143" s="1">
        <v>43521</v>
      </c>
      <c r="AE143">
        <v>0</v>
      </c>
      <c r="AF143">
        <v>11</v>
      </c>
    </row>
    <row r="144" spans="1:32" x14ac:dyDescent="0.3">
      <c r="A144" t="s">
        <v>309</v>
      </c>
      <c r="B144">
        <v>1</v>
      </c>
      <c r="C144">
        <v>5</v>
      </c>
      <c r="D144">
        <v>60436</v>
      </c>
      <c r="E144" t="str">
        <f t="shared" si="10"/>
        <v>High</v>
      </c>
      <c r="F144">
        <v>0</v>
      </c>
      <c r="G144" t="str">
        <f t="shared" si="11"/>
        <v>No</v>
      </c>
      <c r="H144" t="s">
        <v>27</v>
      </c>
      <c r="I144" t="s">
        <v>28</v>
      </c>
      <c r="J144" s="1">
        <v>23480</v>
      </c>
      <c r="K144" s="2">
        <f t="shared" ca="1" si="12"/>
        <v>62</v>
      </c>
      <c r="L144" t="s">
        <v>49</v>
      </c>
      <c r="M144" t="s">
        <v>96</v>
      </c>
      <c r="N144" t="s">
        <v>31</v>
      </c>
      <c r="O144" t="s">
        <v>32</v>
      </c>
      <c r="P144" t="s">
        <v>33</v>
      </c>
      <c r="Q144" s="1">
        <v>41645</v>
      </c>
      <c r="S144" s="2">
        <f t="shared" ca="1" si="13"/>
        <v>12.243835616438357</v>
      </c>
      <c r="T144" s="2" t="str">
        <f t="shared" ca="1" si="14"/>
        <v>10+ Years</v>
      </c>
      <c r="U144" t="s">
        <v>34</v>
      </c>
      <c r="V144" t="s">
        <v>35</v>
      </c>
      <c r="W144" t="s">
        <v>36</v>
      </c>
      <c r="X144" t="s">
        <v>76</v>
      </c>
      <c r="Y144" t="s">
        <v>38</v>
      </c>
      <c r="Z144" t="s">
        <v>47</v>
      </c>
      <c r="AA144">
        <v>5</v>
      </c>
      <c r="AB144">
        <v>5</v>
      </c>
      <c r="AC144">
        <v>0</v>
      </c>
      <c r="AD144" s="1">
        <v>43486</v>
      </c>
      <c r="AE144">
        <v>0</v>
      </c>
      <c r="AF144">
        <v>9</v>
      </c>
    </row>
    <row r="145" spans="1:32" x14ac:dyDescent="0.3">
      <c r="A145" t="s">
        <v>310</v>
      </c>
      <c r="B145">
        <v>5</v>
      </c>
      <c r="C145">
        <v>5</v>
      </c>
      <c r="D145">
        <v>46837</v>
      </c>
      <c r="E145" t="str">
        <f t="shared" si="10"/>
        <v>Medium</v>
      </c>
      <c r="F145">
        <v>1</v>
      </c>
      <c r="G145" t="str">
        <f t="shared" si="11"/>
        <v>Yes</v>
      </c>
      <c r="H145" t="s">
        <v>27</v>
      </c>
      <c r="I145" t="s">
        <v>28</v>
      </c>
      <c r="J145" s="1">
        <v>21781</v>
      </c>
      <c r="K145" s="2">
        <f t="shared" ca="1" si="12"/>
        <v>67</v>
      </c>
      <c r="L145" t="s">
        <v>29</v>
      </c>
      <c r="M145" t="s">
        <v>41</v>
      </c>
      <c r="N145" t="s">
        <v>31</v>
      </c>
      <c r="O145" t="s">
        <v>32</v>
      </c>
      <c r="P145" t="s">
        <v>33</v>
      </c>
      <c r="Q145" s="1">
        <v>40854</v>
      </c>
      <c r="R145" s="1">
        <v>43219</v>
      </c>
      <c r="S145" s="2">
        <f t="shared" ca="1" si="13"/>
        <v>6.4794520547945202</v>
      </c>
      <c r="T145" s="2" t="str">
        <f t="shared" ca="1" si="14"/>
        <v>6-10 Years</v>
      </c>
      <c r="U145" t="s">
        <v>115</v>
      </c>
      <c r="V145" t="s">
        <v>43</v>
      </c>
      <c r="W145" t="s">
        <v>36</v>
      </c>
      <c r="X145" t="s">
        <v>37</v>
      </c>
      <c r="Y145" t="s">
        <v>84</v>
      </c>
      <c r="Z145" t="s">
        <v>39</v>
      </c>
      <c r="AA145">
        <v>4.7</v>
      </c>
      <c r="AB145">
        <v>4</v>
      </c>
      <c r="AC145">
        <v>0</v>
      </c>
      <c r="AD145" s="1">
        <v>43145</v>
      </c>
      <c r="AE145">
        <v>0</v>
      </c>
      <c r="AF145">
        <v>9</v>
      </c>
    </row>
    <row r="146" spans="1:32" x14ac:dyDescent="0.3">
      <c r="A146" t="s">
        <v>311</v>
      </c>
      <c r="B146">
        <v>3</v>
      </c>
      <c r="C146">
        <v>3</v>
      </c>
      <c r="D146">
        <v>105700</v>
      </c>
      <c r="E146" t="str">
        <f t="shared" si="10"/>
        <v>High</v>
      </c>
      <c r="F146">
        <v>0</v>
      </c>
      <c r="G146" t="str">
        <f t="shared" si="11"/>
        <v>No</v>
      </c>
      <c r="H146" t="s">
        <v>81</v>
      </c>
      <c r="I146" t="s">
        <v>28</v>
      </c>
      <c r="J146" s="1">
        <v>31723</v>
      </c>
      <c r="K146" s="2">
        <f t="shared" ca="1" si="12"/>
        <v>40</v>
      </c>
      <c r="L146" t="s">
        <v>49</v>
      </c>
      <c r="M146" t="s">
        <v>41</v>
      </c>
      <c r="N146" t="s">
        <v>31</v>
      </c>
      <c r="O146" t="s">
        <v>32</v>
      </c>
      <c r="P146" t="s">
        <v>83</v>
      </c>
      <c r="Q146" s="1">
        <v>42009</v>
      </c>
      <c r="S146" s="2">
        <f t="shared" ca="1" si="13"/>
        <v>11.246575342465754</v>
      </c>
      <c r="T146" s="2" t="str">
        <f t="shared" ca="1" si="14"/>
        <v>10+ Years</v>
      </c>
      <c r="U146" t="s">
        <v>34</v>
      </c>
      <c r="V146" t="s">
        <v>35</v>
      </c>
      <c r="W146" t="s">
        <v>44</v>
      </c>
      <c r="X146" t="s">
        <v>45</v>
      </c>
      <c r="Y146" t="s">
        <v>46</v>
      </c>
      <c r="Z146" t="s">
        <v>47</v>
      </c>
      <c r="AA146">
        <v>3.75</v>
      </c>
      <c r="AB146">
        <v>3</v>
      </c>
      <c r="AC146">
        <v>5</v>
      </c>
      <c r="AD146" s="1">
        <v>43507</v>
      </c>
      <c r="AE146">
        <v>0</v>
      </c>
      <c r="AF146">
        <v>2</v>
      </c>
    </row>
    <row r="147" spans="1:32" x14ac:dyDescent="0.3">
      <c r="A147" t="s">
        <v>312</v>
      </c>
      <c r="B147">
        <v>1</v>
      </c>
      <c r="C147">
        <v>5</v>
      </c>
      <c r="D147">
        <v>63322</v>
      </c>
      <c r="E147" t="str">
        <f t="shared" si="10"/>
        <v>High</v>
      </c>
      <c r="F147">
        <v>0</v>
      </c>
      <c r="G147" t="str">
        <f t="shared" si="11"/>
        <v>No</v>
      </c>
      <c r="H147" t="s">
        <v>48</v>
      </c>
      <c r="I147" t="s">
        <v>28</v>
      </c>
      <c r="J147" s="1">
        <v>25454</v>
      </c>
      <c r="K147" s="2">
        <f t="shared" ca="1" si="12"/>
        <v>57</v>
      </c>
      <c r="L147" t="s">
        <v>49</v>
      </c>
      <c r="M147" t="s">
        <v>30</v>
      </c>
      <c r="N147" t="s">
        <v>31</v>
      </c>
      <c r="O147" t="s">
        <v>32</v>
      </c>
      <c r="P147" t="s">
        <v>33</v>
      </c>
      <c r="Q147" s="1">
        <v>41827</v>
      </c>
      <c r="S147" s="2">
        <f t="shared" ca="1" si="13"/>
        <v>11.745205479452055</v>
      </c>
      <c r="T147" s="2" t="str">
        <f t="shared" ca="1" si="14"/>
        <v>10+ Years</v>
      </c>
      <c r="U147" t="s">
        <v>34</v>
      </c>
      <c r="V147" t="s">
        <v>35</v>
      </c>
      <c r="W147" t="s">
        <v>36</v>
      </c>
      <c r="X147" t="s">
        <v>65</v>
      </c>
      <c r="Y147" t="s">
        <v>38</v>
      </c>
      <c r="Z147" t="s">
        <v>39</v>
      </c>
      <c r="AA147">
        <v>4.3</v>
      </c>
      <c r="AB147">
        <v>3</v>
      </c>
      <c r="AC147">
        <v>0</v>
      </c>
      <c r="AD147" s="1">
        <v>43476</v>
      </c>
      <c r="AE147">
        <v>0</v>
      </c>
      <c r="AF147">
        <v>1</v>
      </c>
    </row>
    <row r="148" spans="1:32" x14ac:dyDescent="0.3">
      <c r="A148" t="s">
        <v>313</v>
      </c>
      <c r="B148">
        <v>5</v>
      </c>
      <c r="C148">
        <v>5</v>
      </c>
      <c r="D148">
        <v>61154</v>
      </c>
      <c r="E148" t="str">
        <f t="shared" si="10"/>
        <v>High</v>
      </c>
      <c r="F148">
        <v>1</v>
      </c>
      <c r="G148" t="str">
        <f t="shared" si="11"/>
        <v>Yes</v>
      </c>
      <c r="H148" t="s">
        <v>27</v>
      </c>
      <c r="I148" t="s">
        <v>28</v>
      </c>
      <c r="J148" s="1">
        <v>31519</v>
      </c>
      <c r="K148" s="2">
        <f t="shared" ca="1" si="12"/>
        <v>40</v>
      </c>
      <c r="L148" t="s">
        <v>49</v>
      </c>
      <c r="M148" t="s">
        <v>41</v>
      </c>
      <c r="N148" t="s">
        <v>31</v>
      </c>
      <c r="O148" t="s">
        <v>32</v>
      </c>
      <c r="P148" t="s">
        <v>64</v>
      </c>
      <c r="Q148" s="1">
        <v>40553</v>
      </c>
      <c r="R148" s="1">
        <v>42461</v>
      </c>
      <c r="S148" s="2">
        <f t="shared" ca="1" si="13"/>
        <v>5.2273972602739729</v>
      </c>
      <c r="T148" s="2" t="str">
        <f t="shared" ca="1" si="14"/>
        <v>6-10 Years</v>
      </c>
      <c r="U148" t="s">
        <v>72</v>
      </c>
      <c r="V148" t="s">
        <v>43</v>
      </c>
      <c r="W148" t="s">
        <v>36</v>
      </c>
      <c r="X148" t="s">
        <v>52</v>
      </c>
      <c r="Y148" t="s">
        <v>84</v>
      </c>
      <c r="Z148" t="s">
        <v>47</v>
      </c>
      <c r="AA148">
        <v>4</v>
      </c>
      <c r="AB148">
        <v>4</v>
      </c>
      <c r="AC148">
        <v>0</v>
      </c>
      <c r="AD148" s="1">
        <v>42403</v>
      </c>
      <c r="AE148">
        <v>0</v>
      </c>
      <c r="AF148">
        <v>4</v>
      </c>
    </row>
    <row r="149" spans="1:32" x14ac:dyDescent="0.3">
      <c r="A149" t="s">
        <v>314</v>
      </c>
      <c r="B149">
        <v>5</v>
      </c>
      <c r="C149">
        <v>6</v>
      </c>
      <c r="D149">
        <v>68999</v>
      </c>
      <c r="E149" t="str">
        <f t="shared" si="10"/>
        <v>High</v>
      </c>
      <c r="F149">
        <v>1</v>
      </c>
      <c r="G149" t="str">
        <f t="shared" si="11"/>
        <v>Yes</v>
      </c>
      <c r="H149" t="s">
        <v>111</v>
      </c>
      <c r="I149" t="s">
        <v>138</v>
      </c>
      <c r="J149" s="1">
        <v>32823</v>
      </c>
      <c r="K149" s="2">
        <f t="shared" ca="1" si="12"/>
        <v>37</v>
      </c>
      <c r="L149" t="s">
        <v>49</v>
      </c>
      <c r="M149" t="s">
        <v>30</v>
      </c>
      <c r="N149" t="s">
        <v>31</v>
      </c>
      <c r="O149" t="s">
        <v>32</v>
      </c>
      <c r="P149" t="s">
        <v>33</v>
      </c>
      <c r="Q149" s="1">
        <v>40854</v>
      </c>
      <c r="R149" s="1">
        <v>41753</v>
      </c>
      <c r="S149" s="2">
        <f t="shared" ca="1" si="13"/>
        <v>2.463013698630137</v>
      </c>
      <c r="T149" s="2" t="str">
        <f t="shared" ca="1" si="14"/>
        <v>3-5 Years</v>
      </c>
      <c r="U149" t="s">
        <v>139</v>
      </c>
      <c r="V149" t="s">
        <v>43</v>
      </c>
      <c r="W149" t="s">
        <v>99</v>
      </c>
      <c r="X149" t="s">
        <v>112</v>
      </c>
      <c r="Y149" t="s">
        <v>56</v>
      </c>
      <c r="Z149" t="s">
        <v>47</v>
      </c>
      <c r="AA149">
        <v>4.5</v>
      </c>
      <c r="AB149">
        <v>5</v>
      </c>
      <c r="AC149">
        <v>0</v>
      </c>
      <c r="AD149" s="1">
        <v>41363</v>
      </c>
      <c r="AE149">
        <v>0</v>
      </c>
      <c r="AF149">
        <v>2</v>
      </c>
    </row>
    <row r="150" spans="1:32" x14ac:dyDescent="0.3">
      <c r="A150" t="s">
        <v>315</v>
      </c>
      <c r="B150">
        <v>1</v>
      </c>
      <c r="C150">
        <v>5</v>
      </c>
      <c r="D150">
        <v>50482</v>
      </c>
      <c r="E150" t="str">
        <f t="shared" si="10"/>
        <v>Medium</v>
      </c>
      <c r="F150">
        <v>0</v>
      </c>
      <c r="G150" t="str">
        <f t="shared" si="11"/>
        <v>No</v>
      </c>
      <c r="H150" t="s">
        <v>27</v>
      </c>
      <c r="I150" t="s">
        <v>28</v>
      </c>
      <c r="J150" s="1">
        <v>27778</v>
      </c>
      <c r="K150" s="2">
        <f t="shared" ca="1" si="12"/>
        <v>50</v>
      </c>
      <c r="L150" t="s">
        <v>29</v>
      </c>
      <c r="M150" t="s">
        <v>30</v>
      </c>
      <c r="N150" t="s">
        <v>31</v>
      </c>
      <c r="O150" t="s">
        <v>32</v>
      </c>
      <c r="P150" t="s">
        <v>33</v>
      </c>
      <c r="Q150" s="1">
        <v>41547</v>
      </c>
      <c r="S150" s="2">
        <f t="shared" ca="1" si="13"/>
        <v>12.512328767123288</v>
      </c>
      <c r="T150" s="2" t="str">
        <f t="shared" ca="1" si="14"/>
        <v>10+ Years</v>
      </c>
      <c r="U150" t="s">
        <v>34</v>
      </c>
      <c r="V150" t="s">
        <v>35</v>
      </c>
      <c r="W150" t="s">
        <v>36</v>
      </c>
      <c r="X150" t="s">
        <v>37</v>
      </c>
      <c r="Y150" t="s">
        <v>46</v>
      </c>
      <c r="Z150" t="s">
        <v>47</v>
      </c>
      <c r="AA150">
        <v>3.07</v>
      </c>
      <c r="AB150">
        <v>4</v>
      </c>
      <c r="AC150">
        <v>0</v>
      </c>
      <c r="AD150" s="1">
        <v>43488</v>
      </c>
      <c r="AE150">
        <v>0</v>
      </c>
      <c r="AF150">
        <v>10</v>
      </c>
    </row>
    <row r="151" spans="1:32" x14ac:dyDescent="0.3">
      <c r="A151" t="s">
        <v>316</v>
      </c>
      <c r="B151">
        <v>1</v>
      </c>
      <c r="C151">
        <v>6</v>
      </c>
      <c r="D151">
        <v>65310</v>
      </c>
      <c r="E151" t="str">
        <f t="shared" si="10"/>
        <v>High</v>
      </c>
      <c r="F151">
        <v>0</v>
      </c>
      <c r="G151" t="str">
        <f t="shared" si="11"/>
        <v>No</v>
      </c>
      <c r="H151" t="s">
        <v>97</v>
      </c>
      <c r="I151" t="s">
        <v>140</v>
      </c>
      <c r="J151" s="1">
        <v>29186</v>
      </c>
      <c r="K151" s="2">
        <f t="shared" ca="1" si="12"/>
        <v>47</v>
      </c>
      <c r="L151" t="s">
        <v>29</v>
      </c>
      <c r="M151" t="s">
        <v>30</v>
      </c>
      <c r="N151" t="s">
        <v>31</v>
      </c>
      <c r="O151" t="s">
        <v>32</v>
      </c>
      <c r="P151" t="s">
        <v>33</v>
      </c>
      <c r="Q151" s="1">
        <v>41505</v>
      </c>
      <c r="S151" s="2">
        <f t="shared" ca="1" si="13"/>
        <v>12.627397260273973</v>
      </c>
      <c r="T151" s="2" t="str">
        <f t="shared" ca="1" si="14"/>
        <v>10+ Years</v>
      </c>
      <c r="U151" t="s">
        <v>34</v>
      </c>
      <c r="V151" t="s">
        <v>35</v>
      </c>
      <c r="W151" t="s">
        <v>99</v>
      </c>
      <c r="X151" t="s">
        <v>105</v>
      </c>
      <c r="Y151" t="s">
        <v>46</v>
      </c>
      <c r="Z151" t="s">
        <v>47</v>
      </c>
      <c r="AA151">
        <v>4.3</v>
      </c>
      <c r="AB151">
        <v>5</v>
      </c>
      <c r="AC151">
        <v>0</v>
      </c>
      <c r="AD151" s="1">
        <v>43487</v>
      </c>
      <c r="AE151">
        <v>0</v>
      </c>
      <c r="AF151">
        <v>13</v>
      </c>
    </row>
    <row r="152" spans="1:32" x14ac:dyDescent="0.3">
      <c r="A152" t="s">
        <v>317</v>
      </c>
      <c r="B152">
        <v>1</v>
      </c>
      <c r="C152">
        <v>2</v>
      </c>
      <c r="D152">
        <v>250000</v>
      </c>
      <c r="E152" t="str">
        <f t="shared" si="10"/>
        <v>High</v>
      </c>
      <c r="F152">
        <v>0</v>
      </c>
      <c r="G152" t="str">
        <f t="shared" si="11"/>
        <v>No</v>
      </c>
      <c r="H152" t="s">
        <v>141</v>
      </c>
      <c r="I152" t="s">
        <v>28</v>
      </c>
      <c r="J152" s="1">
        <v>19988</v>
      </c>
      <c r="K152" s="2">
        <f t="shared" ca="1" si="12"/>
        <v>72</v>
      </c>
      <c r="L152" t="s">
        <v>49</v>
      </c>
      <c r="M152" t="s">
        <v>41</v>
      </c>
      <c r="N152" t="s">
        <v>31</v>
      </c>
      <c r="O152" t="s">
        <v>69</v>
      </c>
      <c r="P152" t="s">
        <v>33</v>
      </c>
      <c r="Q152" s="1">
        <v>41092</v>
      </c>
      <c r="S152" s="2">
        <f t="shared" ca="1" si="13"/>
        <v>13.758904109589041</v>
      </c>
      <c r="T152" s="2" t="str">
        <f t="shared" ca="1" si="14"/>
        <v>10+ Years</v>
      </c>
      <c r="U152" t="s">
        <v>34</v>
      </c>
      <c r="V152" t="s">
        <v>35</v>
      </c>
      <c r="W152" t="s">
        <v>142</v>
      </c>
      <c r="X152" t="s">
        <v>128</v>
      </c>
      <c r="Y152" t="s">
        <v>46</v>
      </c>
      <c r="Z152" t="s">
        <v>47</v>
      </c>
      <c r="AA152">
        <v>4.83</v>
      </c>
      <c r="AB152">
        <v>3</v>
      </c>
      <c r="AC152">
        <v>0</v>
      </c>
      <c r="AD152" s="1">
        <v>43482</v>
      </c>
      <c r="AE152">
        <v>0</v>
      </c>
      <c r="AF152">
        <v>10</v>
      </c>
    </row>
    <row r="153" spans="1:32" x14ac:dyDescent="0.3">
      <c r="A153" t="s">
        <v>318</v>
      </c>
      <c r="B153">
        <v>5</v>
      </c>
      <c r="C153">
        <v>5</v>
      </c>
      <c r="D153">
        <v>54005</v>
      </c>
      <c r="E153" t="str">
        <f t="shared" si="10"/>
        <v>Medium</v>
      </c>
      <c r="F153">
        <v>1</v>
      </c>
      <c r="G153" t="str">
        <f t="shared" si="11"/>
        <v>Yes</v>
      </c>
      <c r="H153" t="s">
        <v>27</v>
      </c>
      <c r="I153" t="s">
        <v>28</v>
      </c>
      <c r="J153" s="1">
        <v>27006</v>
      </c>
      <c r="K153" s="2">
        <f t="shared" ca="1" si="12"/>
        <v>53</v>
      </c>
      <c r="L153" t="s">
        <v>49</v>
      </c>
      <c r="M153" t="s">
        <v>41</v>
      </c>
      <c r="N153" t="s">
        <v>31</v>
      </c>
      <c r="O153" t="s">
        <v>32</v>
      </c>
      <c r="P153" t="s">
        <v>33</v>
      </c>
      <c r="Q153" s="1">
        <v>40812</v>
      </c>
      <c r="R153" s="1">
        <v>42159</v>
      </c>
      <c r="S153" s="2">
        <f t="shared" ca="1" si="13"/>
        <v>3.6904109589041094</v>
      </c>
      <c r="T153" s="2" t="str">
        <f t="shared" ca="1" si="14"/>
        <v>3-5 Years</v>
      </c>
      <c r="U153" t="s">
        <v>115</v>
      </c>
      <c r="V153" t="s">
        <v>43</v>
      </c>
      <c r="W153" t="s">
        <v>36</v>
      </c>
      <c r="X153" t="s">
        <v>55</v>
      </c>
      <c r="Y153" t="s">
        <v>56</v>
      </c>
      <c r="Z153" t="s">
        <v>47</v>
      </c>
      <c r="AA153">
        <v>3.6</v>
      </c>
      <c r="AB153">
        <v>5</v>
      </c>
      <c r="AC153">
        <v>0</v>
      </c>
      <c r="AD153" s="1">
        <v>42064</v>
      </c>
      <c r="AE153">
        <v>0</v>
      </c>
      <c r="AF153">
        <v>16</v>
      </c>
    </row>
    <row r="154" spans="1:32" x14ac:dyDescent="0.3">
      <c r="A154" t="s">
        <v>319</v>
      </c>
      <c r="B154">
        <v>5</v>
      </c>
      <c r="C154">
        <v>5</v>
      </c>
      <c r="D154">
        <v>45433</v>
      </c>
      <c r="E154" t="str">
        <f t="shared" si="10"/>
        <v>Medium</v>
      </c>
      <c r="F154">
        <v>1</v>
      </c>
      <c r="G154" t="str">
        <f t="shared" si="11"/>
        <v>Yes</v>
      </c>
      <c r="H154" t="s">
        <v>27</v>
      </c>
      <c r="I154" t="s">
        <v>28</v>
      </c>
      <c r="J154" s="1">
        <v>25849</v>
      </c>
      <c r="K154" s="2">
        <f t="shared" ca="1" si="12"/>
        <v>56</v>
      </c>
      <c r="L154" t="s">
        <v>49</v>
      </c>
      <c r="M154" t="s">
        <v>41</v>
      </c>
      <c r="N154" t="s">
        <v>31</v>
      </c>
      <c r="O154" t="s">
        <v>32</v>
      </c>
      <c r="P154" t="s">
        <v>33</v>
      </c>
      <c r="Q154" s="1">
        <v>40812</v>
      </c>
      <c r="R154" s="1">
        <v>41648</v>
      </c>
      <c r="S154" s="2">
        <f t="shared" ca="1" si="13"/>
        <v>2.2904109589041095</v>
      </c>
      <c r="T154" s="2" t="str">
        <f t="shared" ca="1" si="14"/>
        <v>3-5 Years</v>
      </c>
      <c r="U154" t="s">
        <v>115</v>
      </c>
      <c r="V154" t="s">
        <v>43</v>
      </c>
      <c r="W154" t="s">
        <v>36</v>
      </c>
      <c r="X154" t="s">
        <v>57</v>
      </c>
      <c r="Y154" t="s">
        <v>56</v>
      </c>
      <c r="Z154" t="s">
        <v>47</v>
      </c>
      <c r="AA154">
        <v>3.49</v>
      </c>
      <c r="AB154">
        <v>4</v>
      </c>
      <c r="AC154">
        <v>0</v>
      </c>
      <c r="AD154" s="1">
        <v>41304</v>
      </c>
      <c r="AE154">
        <v>0</v>
      </c>
      <c r="AF154">
        <v>6</v>
      </c>
    </row>
    <row r="155" spans="1:32" x14ac:dyDescent="0.3">
      <c r="A155" t="s">
        <v>320</v>
      </c>
      <c r="B155">
        <v>1</v>
      </c>
      <c r="C155">
        <v>5</v>
      </c>
      <c r="D155">
        <v>46654</v>
      </c>
      <c r="E155" t="str">
        <f t="shared" si="10"/>
        <v>Medium</v>
      </c>
      <c r="F155">
        <v>0</v>
      </c>
      <c r="G155" t="str">
        <f t="shared" si="11"/>
        <v>No</v>
      </c>
      <c r="H155" t="s">
        <v>27</v>
      </c>
      <c r="I155" t="s">
        <v>28</v>
      </c>
      <c r="J155" s="1">
        <v>28439</v>
      </c>
      <c r="K155" s="2">
        <f t="shared" ca="1" si="12"/>
        <v>49</v>
      </c>
      <c r="L155" t="s">
        <v>29</v>
      </c>
      <c r="M155" t="s">
        <v>30</v>
      </c>
      <c r="N155" t="s">
        <v>31</v>
      </c>
      <c r="O155" t="s">
        <v>32</v>
      </c>
      <c r="P155" t="s">
        <v>64</v>
      </c>
      <c r="Q155" s="1">
        <v>41687</v>
      </c>
      <c r="S155" s="2">
        <f t="shared" ca="1" si="13"/>
        <v>12.128767123287671</v>
      </c>
      <c r="T155" s="2" t="str">
        <f t="shared" ca="1" si="14"/>
        <v>10+ Years</v>
      </c>
      <c r="U155" t="s">
        <v>34</v>
      </c>
      <c r="V155" t="s">
        <v>35</v>
      </c>
      <c r="W155" t="s">
        <v>36</v>
      </c>
      <c r="X155" t="s">
        <v>62</v>
      </c>
      <c r="Y155" t="s">
        <v>38</v>
      </c>
      <c r="Z155" t="s">
        <v>47</v>
      </c>
      <c r="AA155">
        <v>3.1</v>
      </c>
      <c r="AB155">
        <v>3</v>
      </c>
      <c r="AC155">
        <v>0</v>
      </c>
      <c r="AD155" s="1">
        <v>43502</v>
      </c>
      <c r="AE155">
        <v>0</v>
      </c>
      <c r="AF155">
        <v>3</v>
      </c>
    </row>
    <row r="156" spans="1:32" x14ac:dyDescent="0.3">
      <c r="A156" t="s">
        <v>321</v>
      </c>
      <c r="B156">
        <v>1</v>
      </c>
      <c r="C156">
        <v>5</v>
      </c>
      <c r="D156">
        <v>63973</v>
      </c>
      <c r="E156" t="str">
        <f t="shared" si="10"/>
        <v>High</v>
      </c>
      <c r="F156">
        <v>0</v>
      </c>
      <c r="G156" t="str">
        <f t="shared" si="11"/>
        <v>No</v>
      </c>
      <c r="H156" t="s">
        <v>27</v>
      </c>
      <c r="I156" t="s">
        <v>28</v>
      </c>
      <c r="J156" s="1">
        <v>29253</v>
      </c>
      <c r="K156" s="2">
        <f t="shared" ca="1" si="12"/>
        <v>46</v>
      </c>
      <c r="L156" t="s">
        <v>29</v>
      </c>
      <c r="M156" t="s">
        <v>41</v>
      </c>
      <c r="N156" t="s">
        <v>31</v>
      </c>
      <c r="O156" t="s">
        <v>32</v>
      </c>
      <c r="P156" t="s">
        <v>83</v>
      </c>
      <c r="Q156" s="1">
        <v>40553</v>
      </c>
      <c r="S156" s="2">
        <f t="shared" ca="1" si="13"/>
        <v>15.235616438356164</v>
      </c>
      <c r="T156" s="2" t="str">
        <f t="shared" ca="1" si="14"/>
        <v>10+ Years</v>
      </c>
      <c r="U156" t="s">
        <v>34</v>
      </c>
      <c r="V156" t="s">
        <v>35</v>
      </c>
      <c r="W156" t="s">
        <v>36</v>
      </c>
      <c r="X156" t="s">
        <v>65</v>
      </c>
      <c r="Y156" t="s">
        <v>46</v>
      </c>
      <c r="Z156" t="s">
        <v>47</v>
      </c>
      <c r="AA156">
        <v>3.38</v>
      </c>
      <c r="AB156">
        <v>3</v>
      </c>
      <c r="AC156">
        <v>0</v>
      </c>
      <c r="AD156" s="1">
        <v>43486</v>
      </c>
      <c r="AE156">
        <v>0</v>
      </c>
      <c r="AF156">
        <v>17</v>
      </c>
    </row>
    <row r="157" spans="1:32" x14ac:dyDescent="0.3">
      <c r="A157" t="s">
        <v>322</v>
      </c>
      <c r="B157">
        <v>1</v>
      </c>
      <c r="C157">
        <v>6</v>
      </c>
      <c r="D157">
        <v>71339</v>
      </c>
      <c r="E157" t="str">
        <f t="shared" si="10"/>
        <v>High</v>
      </c>
      <c r="F157">
        <v>0</v>
      </c>
      <c r="G157" t="str">
        <f t="shared" si="11"/>
        <v>No</v>
      </c>
      <c r="H157" t="s">
        <v>97</v>
      </c>
      <c r="I157" t="s">
        <v>143</v>
      </c>
      <c r="J157" s="1">
        <v>25258</v>
      </c>
      <c r="K157" s="2">
        <f t="shared" ca="1" si="12"/>
        <v>57</v>
      </c>
      <c r="L157" t="s">
        <v>29</v>
      </c>
      <c r="M157" t="s">
        <v>30</v>
      </c>
      <c r="N157" t="s">
        <v>31</v>
      </c>
      <c r="O157" t="s">
        <v>69</v>
      </c>
      <c r="P157" t="s">
        <v>64</v>
      </c>
      <c r="Q157" s="1">
        <v>40609</v>
      </c>
      <c r="S157" s="2">
        <f t="shared" ca="1" si="13"/>
        <v>15.082191780821917</v>
      </c>
      <c r="T157" s="2" t="str">
        <f t="shared" ca="1" si="14"/>
        <v>10+ Years</v>
      </c>
      <c r="U157" t="s">
        <v>34</v>
      </c>
      <c r="V157" t="s">
        <v>35</v>
      </c>
      <c r="W157" t="s">
        <v>99</v>
      </c>
      <c r="X157" t="s">
        <v>100</v>
      </c>
      <c r="Y157" t="s">
        <v>66</v>
      </c>
      <c r="Z157" t="s">
        <v>47</v>
      </c>
      <c r="AA157">
        <v>3.65</v>
      </c>
      <c r="AB157">
        <v>5</v>
      </c>
      <c r="AC157">
        <v>0</v>
      </c>
      <c r="AD157" s="1">
        <v>43482</v>
      </c>
      <c r="AE157">
        <v>0</v>
      </c>
      <c r="AF157">
        <v>20</v>
      </c>
    </row>
    <row r="158" spans="1:32" x14ac:dyDescent="0.3">
      <c r="A158" t="s">
        <v>323</v>
      </c>
      <c r="B158">
        <v>3</v>
      </c>
      <c r="C158">
        <v>3</v>
      </c>
      <c r="D158">
        <v>93206</v>
      </c>
      <c r="E158" t="str">
        <f t="shared" si="10"/>
        <v>High</v>
      </c>
      <c r="F158">
        <v>0</v>
      </c>
      <c r="G158" t="str">
        <f t="shared" si="11"/>
        <v>No</v>
      </c>
      <c r="H158" t="s">
        <v>110</v>
      </c>
      <c r="I158" t="s">
        <v>28</v>
      </c>
      <c r="J158" s="1">
        <v>31525</v>
      </c>
      <c r="K158" s="2">
        <f t="shared" ca="1" si="12"/>
        <v>40</v>
      </c>
      <c r="L158" t="s">
        <v>29</v>
      </c>
      <c r="M158" t="s">
        <v>41</v>
      </c>
      <c r="N158" t="s">
        <v>31</v>
      </c>
      <c r="O158" t="s">
        <v>32</v>
      </c>
      <c r="P158" t="s">
        <v>33</v>
      </c>
      <c r="Q158" s="1">
        <v>41953</v>
      </c>
      <c r="S158" s="2">
        <f t="shared" ca="1" si="13"/>
        <v>11.4</v>
      </c>
      <c r="T158" s="2" t="str">
        <f t="shared" ca="1" si="14"/>
        <v>10+ Years</v>
      </c>
      <c r="U158" t="s">
        <v>34</v>
      </c>
      <c r="V158" t="s">
        <v>35</v>
      </c>
      <c r="W158" t="s">
        <v>44</v>
      </c>
      <c r="X158" t="s">
        <v>68</v>
      </c>
      <c r="Y158" t="s">
        <v>63</v>
      </c>
      <c r="Z158" t="s">
        <v>47</v>
      </c>
      <c r="AA158">
        <v>4.46</v>
      </c>
      <c r="AB158">
        <v>5</v>
      </c>
      <c r="AC158">
        <v>6</v>
      </c>
      <c r="AD158" s="1">
        <v>43472</v>
      </c>
      <c r="AE158">
        <v>0</v>
      </c>
      <c r="AF158">
        <v>7</v>
      </c>
    </row>
    <row r="159" spans="1:32" x14ac:dyDescent="0.3">
      <c r="A159" t="s">
        <v>324</v>
      </c>
      <c r="B159">
        <v>4</v>
      </c>
      <c r="C159">
        <v>5</v>
      </c>
      <c r="D159">
        <v>82758</v>
      </c>
      <c r="E159" t="str">
        <f t="shared" si="10"/>
        <v>High</v>
      </c>
      <c r="F159">
        <v>1</v>
      </c>
      <c r="G159" t="str">
        <f t="shared" si="11"/>
        <v>Yes</v>
      </c>
      <c r="H159" t="s">
        <v>92</v>
      </c>
      <c r="I159" t="s">
        <v>28</v>
      </c>
      <c r="J159" s="1">
        <v>26481</v>
      </c>
      <c r="K159" s="2">
        <f t="shared" ca="1" si="12"/>
        <v>54</v>
      </c>
      <c r="L159" t="s">
        <v>29</v>
      </c>
      <c r="M159" t="s">
        <v>41</v>
      </c>
      <c r="N159" t="s">
        <v>31</v>
      </c>
      <c r="O159" t="s">
        <v>32</v>
      </c>
      <c r="P159" t="s">
        <v>33</v>
      </c>
      <c r="Q159" s="1">
        <v>40553</v>
      </c>
      <c r="R159" s="1">
        <v>42350</v>
      </c>
      <c r="S159" s="2">
        <f t="shared" ca="1" si="13"/>
        <v>4.9232876712328766</v>
      </c>
      <c r="T159" s="2" t="str">
        <f t="shared" ca="1" si="14"/>
        <v>3-5 Years</v>
      </c>
      <c r="U159" t="s">
        <v>78</v>
      </c>
      <c r="V159" t="s">
        <v>79</v>
      </c>
      <c r="W159" t="s">
        <v>36</v>
      </c>
      <c r="X159" t="s">
        <v>94</v>
      </c>
      <c r="Y159" t="s">
        <v>63</v>
      </c>
      <c r="Z159" t="s">
        <v>47</v>
      </c>
      <c r="AA159">
        <v>4.78</v>
      </c>
      <c r="AB159">
        <v>4</v>
      </c>
      <c r="AC159">
        <v>0</v>
      </c>
      <c r="AD159" s="1">
        <v>42050</v>
      </c>
      <c r="AE159">
        <v>0</v>
      </c>
      <c r="AF159">
        <v>9</v>
      </c>
    </row>
    <row r="160" spans="1:32" x14ac:dyDescent="0.3">
      <c r="A160" t="s">
        <v>325</v>
      </c>
      <c r="B160">
        <v>5</v>
      </c>
      <c r="C160">
        <v>5</v>
      </c>
      <c r="D160">
        <v>66074</v>
      </c>
      <c r="E160" t="str">
        <f t="shared" si="10"/>
        <v>High</v>
      </c>
      <c r="F160">
        <v>1</v>
      </c>
      <c r="G160" t="str">
        <f t="shared" si="11"/>
        <v>Yes</v>
      </c>
      <c r="H160" t="s">
        <v>48</v>
      </c>
      <c r="I160" t="s">
        <v>28</v>
      </c>
      <c r="J160" s="1">
        <v>29061</v>
      </c>
      <c r="K160" s="2">
        <f t="shared" ca="1" si="12"/>
        <v>47</v>
      </c>
      <c r="L160" t="s">
        <v>49</v>
      </c>
      <c r="M160" t="s">
        <v>53</v>
      </c>
      <c r="N160" t="s">
        <v>31</v>
      </c>
      <c r="O160" t="s">
        <v>32</v>
      </c>
      <c r="P160" t="s">
        <v>83</v>
      </c>
      <c r="Q160" s="1">
        <v>41281</v>
      </c>
      <c r="R160" s="1">
        <v>41729</v>
      </c>
      <c r="S160" s="2">
        <f t="shared" ca="1" si="13"/>
        <v>1.2273972602739727</v>
      </c>
      <c r="T160" s="2" t="str">
        <f t="shared" ca="1" si="14"/>
        <v>0-2 Years</v>
      </c>
      <c r="U160" t="s">
        <v>70</v>
      </c>
      <c r="V160" t="s">
        <v>43</v>
      </c>
      <c r="W160" t="s">
        <v>36</v>
      </c>
      <c r="X160" t="s">
        <v>71</v>
      </c>
      <c r="Y160" t="s">
        <v>46</v>
      </c>
      <c r="Z160" t="s">
        <v>47</v>
      </c>
      <c r="AA160">
        <v>4.5199999999999996</v>
      </c>
      <c r="AB160">
        <v>3</v>
      </c>
      <c r="AC160">
        <v>0</v>
      </c>
      <c r="AD160" s="1">
        <v>41690</v>
      </c>
      <c r="AE160">
        <v>0</v>
      </c>
      <c r="AF160">
        <v>20</v>
      </c>
    </row>
    <row r="161" spans="1:32" x14ac:dyDescent="0.3">
      <c r="A161" t="s">
        <v>326</v>
      </c>
      <c r="B161">
        <v>1</v>
      </c>
      <c r="C161">
        <v>5</v>
      </c>
      <c r="D161">
        <v>46120</v>
      </c>
      <c r="E161" t="str">
        <f t="shared" si="10"/>
        <v>Medium</v>
      </c>
      <c r="F161">
        <v>0</v>
      </c>
      <c r="G161" t="str">
        <f t="shared" si="11"/>
        <v>No</v>
      </c>
      <c r="H161" t="s">
        <v>27</v>
      </c>
      <c r="I161" t="s">
        <v>28</v>
      </c>
      <c r="J161" s="1">
        <v>31755</v>
      </c>
      <c r="K161" s="2">
        <f t="shared" ca="1" si="12"/>
        <v>40</v>
      </c>
      <c r="L161" t="s">
        <v>29</v>
      </c>
      <c r="M161" t="s">
        <v>41</v>
      </c>
      <c r="N161" t="s">
        <v>31</v>
      </c>
      <c r="O161" t="s">
        <v>32</v>
      </c>
      <c r="P161" t="s">
        <v>33</v>
      </c>
      <c r="Q161" s="1">
        <v>41099</v>
      </c>
      <c r="S161" s="2">
        <f t="shared" ca="1" si="13"/>
        <v>13.739726027397261</v>
      </c>
      <c r="T161" s="2" t="str">
        <f t="shared" ca="1" si="14"/>
        <v>10+ Years</v>
      </c>
      <c r="U161" t="s">
        <v>34</v>
      </c>
      <c r="V161" t="s">
        <v>35</v>
      </c>
      <c r="W161" t="s">
        <v>36</v>
      </c>
      <c r="X161" t="s">
        <v>71</v>
      </c>
      <c r="Y161" t="s">
        <v>38</v>
      </c>
      <c r="Z161" t="s">
        <v>47</v>
      </c>
      <c r="AA161">
        <v>5</v>
      </c>
      <c r="AB161">
        <v>5</v>
      </c>
      <c r="AC161">
        <v>0</v>
      </c>
      <c r="AD161" s="1">
        <v>43500</v>
      </c>
      <c r="AE161">
        <v>0</v>
      </c>
      <c r="AF161">
        <v>13</v>
      </c>
    </row>
    <row r="162" spans="1:32" x14ac:dyDescent="0.3">
      <c r="A162" t="s">
        <v>327</v>
      </c>
      <c r="B162">
        <v>1</v>
      </c>
      <c r="C162">
        <v>1</v>
      </c>
      <c r="D162">
        <v>64520</v>
      </c>
      <c r="E162" t="str">
        <f t="shared" si="10"/>
        <v>High</v>
      </c>
      <c r="F162">
        <v>0</v>
      </c>
      <c r="G162" t="str">
        <f t="shared" si="11"/>
        <v>No</v>
      </c>
      <c r="H162" t="s">
        <v>95</v>
      </c>
      <c r="I162" t="s">
        <v>28</v>
      </c>
      <c r="J162" s="1">
        <v>30798</v>
      </c>
      <c r="K162" s="2">
        <f t="shared" ca="1" si="12"/>
        <v>42</v>
      </c>
      <c r="L162" t="s">
        <v>29</v>
      </c>
      <c r="M162" t="s">
        <v>53</v>
      </c>
      <c r="N162" t="s">
        <v>31</v>
      </c>
      <c r="O162" t="s">
        <v>32</v>
      </c>
      <c r="P162" t="s">
        <v>64</v>
      </c>
      <c r="Q162" s="1">
        <v>41645</v>
      </c>
      <c r="S162" s="2">
        <f t="shared" ca="1" si="13"/>
        <v>12.243835616438357</v>
      </c>
      <c r="T162" s="2" t="str">
        <f t="shared" ca="1" si="14"/>
        <v>10+ Years</v>
      </c>
      <c r="U162" t="s">
        <v>34</v>
      </c>
      <c r="V162" t="s">
        <v>35</v>
      </c>
      <c r="W162" t="s">
        <v>90</v>
      </c>
      <c r="X162" t="s">
        <v>91</v>
      </c>
      <c r="Y162" t="s">
        <v>119</v>
      </c>
      <c r="Z162" t="s">
        <v>47</v>
      </c>
      <c r="AA162">
        <v>5</v>
      </c>
      <c r="AB162">
        <v>4</v>
      </c>
      <c r="AC162">
        <v>4</v>
      </c>
      <c r="AD162" s="1">
        <v>43482</v>
      </c>
      <c r="AE162">
        <v>0</v>
      </c>
      <c r="AF162">
        <v>3</v>
      </c>
    </row>
    <row r="163" spans="1:32" x14ac:dyDescent="0.3">
      <c r="A163" t="s">
        <v>328</v>
      </c>
      <c r="B163">
        <v>5</v>
      </c>
      <c r="C163">
        <v>5</v>
      </c>
      <c r="D163">
        <v>61962</v>
      </c>
      <c r="E163" t="str">
        <f t="shared" si="10"/>
        <v>High</v>
      </c>
      <c r="F163">
        <v>1</v>
      </c>
      <c r="G163" t="str">
        <f t="shared" si="11"/>
        <v>Yes</v>
      </c>
      <c r="H163" t="s">
        <v>48</v>
      </c>
      <c r="I163" t="s">
        <v>28</v>
      </c>
      <c r="J163" s="1">
        <v>30811</v>
      </c>
      <c r="K163" s="2">
        <f t="shared" ca="1" si="12"/>
        <v>42</v>
      </c>
      <c r="L163" t="s">
        <v>29</v>
      </c>
      <c r="M163" t="s">
        <v>41</v>
      </c>
      <c r="N163" t="s">
        <v>31</v>
      </c>
      <c r="O163" t="s">
        <v>32</v>
      </c>
      <c r="P163" t="s">
        <v>33</v>
      </c>
      <c r="Q163" s="1">
        <v>41001</v>
      </c>
      <c r="R163" s="1">
        <v>41379</v>
      </c>
      <c r="S163" s="2">
        <f t="shared" ca="1" si="13"/>
        <v>1.0356164383561643</v>
      </c>
      <c r="T163" s="2" t="str">
        <f t="shared" ca="1" si="14"/>
        <v>0-2 Years</v>
      </c>
      <c r="U163" t="s">
        <v>115</v>
      </c>
      <c r="V163" t="s">
        <v>43</v>
      </c>
      <c r="W163" t="s">
        <v>36</v>
      </c>
      <c r="X163" t="s">
        <v>51</v>
      </c>
      <c r="Y163" t="s">
        <v>56</v>
      </c>
      <c r="Z163" t="s">
        <v>47</v>
      </c>
      <c r="AA163">
        <v>4.9000000000000004</v>
      </c>
      <c r="AB163">
        <v>3</v>
      </c>
      <c r="AC163">
        <v>0</v>
      </c>
      <c r="AD163" s="1">
        <v>41325</v>
      </c>
      <c r="AE163">
        <v>0</v>
      </c>
      <c r="AF163">
        <v>20</v>
      </c>
    </row>
    <row r="164" spans="1:32" x14ac:dyDescent="0.3">
      <c r="A164" t="s">
        <v>329</v>
      </c>
      <c r="B164">
        <v>1</v>
      </c>
      <c r="C164">
        <v>3</v>
      </c>
      <c r="D164">
        <v>81584</v>
      </c>
      <c r="E164" t="str">
        <f t="shared" si="10"/>
        <v>High</v>
      </c>
      <c r="F164">
        <v>0</v>
      </c>
      <c r="G164" t="str">
        <f t="shared" si="11"/>
        <v>No</v>
      </c>
      <c r="H164" t="s">
        <v>144</v>
      </c>
      <c r="I164" t="s">
        <v>28</v>
      </c>
      <c r="J164" s="1">
        <v>31942</v>
      </c>
      <c r="K164" s="2">
        <f t="shared" ca="1" si="12"/>
        <v>39</v>
      </c>
      <c r="L164" t="s">
        <v>49</v>
      </c>
      <c r="M164" t="s">
        <v>30</v>
      </c>
      <c r="N164" t="s">
        <v>31</v>
      </c>
      <c r="O164" t="s">
        <v>32</v>
      </c>
      <c r="P164" t="s">
        <v>83</v>
      </c>
      <c r="Q164" s="1">
        <v>42645</v>
      </c>
      <c r="S164" s="2">
        <f t="shared" ca="1" si="13"/>
        <v>9.5041095890410965</v>
      </c>
      <c r="T164" s="2" t="str">
        <f t="shared" ca="1" si="14"/>
        <v>6-10 Years</v>
      </c>
      <c r="U164" t="s">
        <v>34</v>
      </c>
      <c r="V164" t="s">
        <v>35</v>
      </c>
      <c r="W164" t="s">
        <v>44</v>
      </c>
      <c r="X164" t="s">
        <v>117</v>
      </c>
      <c r="Y164" t="s">
        <v>46</v>
      </c>
      <c r="Z164" t="s">
        <v>47</v>
      </c>
      <c r="AA164">
        <v>4.0999999999999996</v>
      </c>
      <c r="AB164">
        <v>5</v>
      </c>
      <c r="AC164">
        <v>7</v>
      </c>
      <c r="AD164" s="1">
        <v>43473</v>
      </c>
      <c r="AE164">
        <v>0</v>
      </c>
      <c r="AF164">
        <v>2</v>
      </c>
    </row>
    <row r="165" spans="1:32" x14ac:dyDescent="0.3">
      <c r="A165" t="s">
        <v>330</v>
      </c>
      <c r="B165">
        <v>5</v>
      </c>
      <c r="C165">
        <v>5</v>
      </c>
      <c r="D165">
        <v>63676</v>
      </c>
      <c r="E165" t="str">
        <f t="shared" si="10"/>
        <v>High</v>
      </c>
      <c r="F165">
        <v>1</v>
      </c>
      <c r="G165" t="str">
        <f t="shared" si="11"/>
        <v>Yes</v>
      </c>
      <c r="H165" t="s">
        <v>27</v>
      </c>
      <c r="I165" t="s">
        <v>28</v>
      </c>
      <c r="J165" s="1">
        <v>28872</v>
      </c>
      <c r="K165" s="2">
        <f t="shared" ca="1" si="12"/>
        <v>47</v>
      </c>
      <c r="L165" t="s">
        <v>49</v>
      </c>
      <c r="M165" t="s">
        <v>30</v>
      </c>
      <c r="N165" t="s">
        <v>31</v>
      </c>
      <c r="O165" t="s">
        <v>32</v>
      </c>
      <c r="P165" t="s">
        <v>83</v>
      </c>
      <c r="Q165" s="1">
        <v>40812</v>
      </c>
      <c r="R165" s="1">
        <v>43331</v>
      </c>
      <c r="S165" s="2">
        <f t="shared" ca="1" si="13"/>
        <v>6.9013698630136986</v>
      </c>
      <c r="T165" s="2" t="str">
        <f t="shared" ca="1" si="14"/>
        <v>6-10 Years</v>
      </c>
      <c r="U165" t="s">
        <v>54</v>
      </c>
      <c r="V165" t="s">
        <v>43</v>
      </c>
      <c r="W165" t="s">
        <v>36</v>
      </c>
      <c r="X165" t="s">
        <v>51</v>
      </c>
      <c r="Y165" t="s">
        <v>84</v>
      </c>
      <c r="Z165" t="s">
        <v>47</v>
      </c>
      <c r="AA165">
        <v>4.88</v>
      </c>
      <c r="AB165">
        <v>3</v>
      </c>
      <c r="AC165">
        <v>0</v>
      </c>
      <c r="AD165" s="1">
        <v>42918</v>
      </c>
      <c r="AE165">
        <v>0</v>
      </c>
      <c r="AF165">
        <v>17</v>
      </c>
    </row>
    <row r="166" spans="1:32" x14ac:dyDescent="0.3">
      <c r="A166" t="s">
        <v>331</v>
      </c>
      <c r="B166">
        <v>1</v>
      </c>
      <c r="C166">
        <v>1</v>
      </c>
      <c r="D166">
        <v>93046</v>
      </c>
      <c r="E166" t="str">
        <f t="shared" si="10"/>
        <v>High</v>
      </c>
      <c r="F166">
        <v>0</v>
      </c>
      <c r="G166" t="str">
        <f t="shared" si="11"/>
        <v>No</v>
      </c>
      <c r="H166" t="s">
        <v>145</v>
      </c>
      <c r="I166" t="s">
        <v>28</v>
      </c>
      <c r="J166" s="1">
        <v>30843</v>
      </c>
      <c r="K166" s="2">
        <f t="shared" ca="1" si="12"/>
        <v>42</v>
      </c>
      <c r="L166" t="s">
        <v>29</v>
      </c>
      <c r="M166" t="s">
        <v>41</v>
      </c>
      <c r="N166" t="s">
        <v>31</v>
      </c>
      <c r="O166" t="s">
        <v>32</v>
      </c>
      <c r="P166" t="s">
        <v>33</v>
      </c>
      <c r="Q166" s="1">
        <v>42374</v>
      </c>
      <c r="S166" s="2">
        <f t="shared" ca="1" si="13"/>
        <v>10.246575342465754</v>
      </c>
      <c r="T166" s="2" t="str">
        <f t="shared" ca="1" si="14"/>
        <v>10+ Years</v>
      </c>
      <c r="U166" t="s">
        <v>34</v>
      </c>
      <c r="V166" t="s">
        <v>35</v>
      </c>
      <c r="W166" t="s">
        <v>90</v>
      </c>
      <c r="X166" t="s">
        <v>94</v>
      </c>
      <c r="Y166" t="s">
        <v>84</v>
      </c>
      <c r="Z166" t="s">
        <v>47</v>
      </c>
      <c r="AA166">
        <v>4.0999999999999996</v>
      </c>
      <c r="AB166">
        <v>4</v>
      </c>
      <c r="AC166">
        <v>0</v>
      </c>
      <c r="AD166" s="1">
        <v>43493</v>
      </c>
      <c r="AE166">
        <v>0</v>
      </c>
      <c r="AF166">
        <v>20</v>
      </c>
    </row>
    <row r="167" spans="1:32" x14ac:dyDescent="0.3">
      <c r="A167" t="s">
        <v>332</v>
      </c>
      <c r="B167">
        <v>1</v>
      </c>
      <c r="C167">
        <v>5</v>
      </c>
      <c r="D167">
        <v>64738</v>
      </c>
      <c r="E167" t="str">
        <f t="shared" si="10"/>
        <v>High</v>
      </c>
      <c r="F167">
        <v>0</v>
      </c>
      <c r="G167" t="str">
        <f t="shared" si="11"/>
        <v>No</v>
      </c>
      <c r="H167" t="s">
        <v>27</v>
      </c>
      <c r="I167" t="s">
        <v>28</v>
      </c>
      <c r="J167" s="1">
        <v>30196</v>
      </c>
      <c r="K167" s="2">
        <f t="shared" ca="1" si="12"/>
        <v>44</v>
      </c>
      <c r="L167" t="s">
        <v>29</v>
      </c>
      <c r="M167" t="s">
        <v>41</v>
      </c>
      <c r="N167" t="s">
        <v>31</v>
      </c>
      <c r="O167" t="s">
        <v>32</v>
      </c>
      <c r="P167" t="s">
        <v>83</v>
      </c>
      <c r="Q167" s="1">
        <v>41043</v>
      </c>
      <c r="S167" s="2">
        <f t="shared" ca="1" si="13"/>
        <v>13.893150684931507</v>
      </c>
      <c r="T167" s="2" t="str">
        <f t="shared" ca="1" si="14"/>
        <v>10+ Years</v>
      </c>
      <c r="U167" t="s">
        <v>34</v>
      </c>
      <c r="V167" t="s">
        <v>35</v>
      </c>
      <c r="W167" t="s">
        <v>36</v>
      </c>
      <c r="X167" t="s">
        <v>52</v>
      </c>
      <c r="Y167" t="s">
        <v>56</v>
      </c>
      <c r="Z167" t="s">
        <v>47</v>
      </c>
      <c r="AA167">
        <v>4.0999999999999996</v>
      </c>
      <c r="AB167">
        <v>3</v>
      </c>
      <c r="AC167">
        <v>0</v>
      </c>
      <c r="AD167" s="1">
        <v>43518</v>
      </c>
      <c r="AE167">
        <v>0</v>
      </c>
      <c r="AF167">
        <v>10</v>
      </c>
    </row>
    <row r="168" spans="1:32" x14ac:dyDescent="0.3">
      <c r="A168" t="s">
        <v>333</v>
      </c>
      <c r="B168">
        <v>1</v>
      </c>
      <c r="C168">
        <v>6</v>
      </c>
      <c r="D168">
        <v>70468</v>
      </c>
      <c r="E168" t="str">
        <f t="shared" si="10"/>
        <v>High</v>
      </c>
      <c r="F168">
        <v>0</v>
      </c>
      <c r="G168" t="str">
        <f t="shared" si="11"/>
        <v>No</v>
      </c>
      <c r="H168" t="s">
        <v>97</v>
      </c>
      <c r="I168" t="s">
        <v>146</v>
      </c>
      <c r="J168" s="1">
        <v>32504</v>
      </c>
      <c r="K168" s="2">
        <f t="shared" ca="1" si="12"/>
        <v>38</v>
      </c>
      <c r="L168" t="s">
        <v>29</v>
      </c>
      <c r="M168" t="s">
        <v>96</v>
      </c>
      <c r="N168" t="s">
        <v>31</v>
      </c>
      <c r="O168" t="s">
        <v>32</v>
      </c>
      <c r="P168" t="s">
        <v>64</v>
      </c>
      <c r="Q168" s="1">
        <v>41029</v>
      </c>
      <c r="S168" s="2">
        <f t="shared" ca="1" si="13"/>
        <v>13.931506849315069</v>
      </c>
      <c r="T168" s="2" t="str">
        <f t="shared" ca="1" si="14"/>
        <v>10+ Years</v>
      </c>
      <c r="U168" t="s">
        <v>34</v>
      </c>
      <c r="V168" t="s">
        <v>35</v>
      </c>
      <c r="W168" t="s">
        <v>99</v>
      </c>
      <c r="X168" t="s">
        <v>100</v>
      </c>
      <c r="Y168" t="s">
        <v>119</v>
      </c>
      <c r="Z168" t="s">
        <v>47</v>
      </c>
      <c r="AA168">
        <v>4.53</v>
      </c>
      <c r="AB168">
        <v>3</v>
      </c>
      <c r="AC168">
        <v>0</v>
      </c>
      <c r="AD168" s="1">
        <v>43494</v>
      </c>
      <c r="AE168">
        <v>0</v>
      </c>
      <c r="AF168">
        <v>16</v>
      </c>
    </row>
    <row r="169" spans="1:32" x14ac:dyDescent="0.3">
      <c r="A169" t="s">
        <v>334</v>
      </c>
      <c r="B169">
        <v>1</v>
      </c>
      <c r="C169">
        <v>5</v>
      </c>
      <c r="D169">
        <v>77915</v>
      </c>
      <c r="E169" t="str">
        <f t="shared" si="10"/>
        <v>High</v>
      </c>
      <c r="F169">
        <v>0</v>
      </c>
      <c r="G169" t="str">
        <f t="shared" si="11"/>
        <v>No</v>
      </c>
      <c r="H169" t="s">
        <v>92</v>
      </c>
      <c r="I169" t="s">
        <v>28</v>
      </c>
      <c r="J169" s="1">
        <v>29885</v>
      </c>
      <c r="K169" s="2">
        <f t="shared" ca="1" si="12"/>
        <v>45</v>
      </c>
      <c r="L169" t="s">
        <v>49</v>
      </c>
      <c r="M169" t="s">
        <v>41</v>
      </c>
      <c r="N169" t="s">
        <v>31</v>
      </c>
      <c r="O169" t="s">
        <v>32</v>
      </c>
      <c r="P169" t="s">
        <v>33</v>
      </c>
      <c r="Q169" s="1">
        <v>41547</v>
      </c>
      <c r="S169" s="2">
        <f t="shared" ca="1" si="13"/>
        <v>12.512328767123288</v>
      </c>
      <c r="T169" s="2" t="str">
        <f t="shared" ca="1" si="14"/>
        <v>10+ Years</v>
      </c>
      <c r="U169" t="s">
        <v>34</v>
      </c>
      <c r="V169" t="s">
        <v>35</v>
      </c>
      <c r="W169" t="s">
        <v>36</v>
      </c>
      <c r="X169" t="s">
        <v>94</v>
      </c>
      <c r="Y169" t="s">
        <v>119</v>
      </c>
      <c r="Z169" t="s">
        <v>39</v>
      </c>
      <c r="AA169">
        <v>4.0999999999999996</v>
      </c>
      <c r="AB169">
        <v>3</v>
      </c>
      <c r="AC169">
        <v>0</v>
      </c>
      <c r="AD169" s="1">
        <v>43486</v>
      </c>
      <c r="AE169">
        <v>0</v>
      </c>
      <c r="AF169">
        <v>11</v>
      </c>
    </row>
    <row r="170" spans="1:32" x14ac:dyDescent="0.3">
      <c r="A170" t="s">
        <v>335</v>
      </c>
      <c r="B170">
        <v>5</v>
      </c>
      <c r="C170">
        <v>5</v>
      </c>
      <c r="D170">
        <v>52624</v>
      </c>
      <c r="E170" t="str">
        <f t="shared" si="10"/>
        <v>Medium</v>
      </c>
      <c r="F170">
        <v>1</v>
      </c>
      <c r="G170" t="str">
        <f t="shared" si="11"/>
        <v>Yes</v>
      </c>
      <c r="H170" t="s">
        <v>27</v>
      </c>
      <c r="I170" t="s">
        <v>28</v>
      </c>
      <c r="J170" s="1">
        <v>29671</v>
      </c>
      <c r="K170" s="2">
        <f t="shared" ca="1" si="12"/>
        <v>45</v>
      </c>
      <c r="L170" t="s">
        <v>49</v>
      </c>
      <c r="M170" t="s">
        <v>41</v>
      </c>
      <c r="N170" t="s">
        <v>31</v>
      </c>
      <c r="O170" t="s">
        <v>32</v>
      </c>
      <c r="P170" t="s">
        <v>33</v>
      </c>
      <c r="Q170" s="1">
        <v>40729</v>
      </c>
      <c r="R170" s="1">
        <v>43369</v>
      </c>
      <c r="S170" s="2">
        <f t="shared" ca="1" si="13"/>
        <v>7.2328767123287667</v>
      </c>
      <c r="T170" s="2" t="str">
        <f t="shared" ca="1" si="14"/>
        <v>6-10 Years</v>
      </c>
      <c r="U170" t="s">
        <v>72</v>
      </c>
      <c r="V170" t="s">
        <v>43</v>
      </c>
      <c r="W170" t="s">
        <v>36</v>
      </c>
      <c r="X170" t="s">
        <v>37</v>
      </c>
      <c r="Y170" t="s">
        <v>46</v>
      </c>
      <c r="Z170" t="s">
        <v>47</v>
      </c>
      <c r="AA170">
        <v>3.18</v>
      </c>
      <c r="AB170">
        <v>4</v>
      </c>
      <c r="AC170">
        <v>0</v>
      </c>
      <c r="AD170" s="1">
        <v>43161</v>
      </c>
      <c r="AE170">
        <v>0</v>
      </c>
      <c r="AF170">
        <v>16</v>
      </c>
    </row>
    <row r="171" spans="1:32" x14ac:dyDescent="0.3">
      <c r="A171" t="s">
        <v>336</v>
      </c>
      <c r="B171">
        <v>3</v>
      </c>
      <c r="C171">
        <v>5</v>
      </c>
      <c r="D171">
        <v>63450</v>
      </c>
      <c r="E171" t="str">
        <f t="shared" si="10"/>
        <v>High</v>
      </c>
      <c r="F171">
        <v>0</v>
      </c>
      <c r="G171" t="str">
        <f t="shared" si="11"/>
        <v>No</v>
      </c>
      <c r="H171" t="s">
        <v>48</v>
      </c>
      <c r="I171" t="s">
        <v>28</v>
      </c>
      <c r="J171" s="1">
        <v>28933</v>
      </c>
      <c r="K171" s="2">
        <f t="shared" ca="1" si="12"/>
        <v>47</v>
      </c>
      <c r="L171" t="s">
        <v>29</v>
      </c>
      <c r="M171" t="s">
        <v>41</v>
      </c>
      <c r="N171" t="s">
        <v>31</v>
      </c>
      <c r="O171" t="s">
        <v>32</v>
      </c>
      <c r="P171" t="s">
        <v>33</v>
      </c>
      <c r="Q171" s="1">
        <v>41463</v>
      </c>
      <c r="S171" s="2">
        <f t="shared" ca="1" si="13"/>
        <v>12.742465753424657</v>
      </c>
      <c r="T171" s="2" t="str">
        <f t="shared" ca="1" si="14"/>
        <v>10+ Years</v>
      </c>
      <c r="U171" t="s">
        <v>34</v>
      </c>
      <c r="V171" t="s">
        <v>35</v>
      </c>
      <c r="W171" t="s">
        <v>36</v>
      </c>
      <c r="X171" t="s">
        <v>76</v>
      </c>
      <c r="Y171" t="s">
        <v>38</v>
      </c>
      <c r="Z171" t="s">
        <v>47</v>
      </c>
      <c r="AA171">
        <v>4</v>
      </c>
      <c r="AB171">
        <v>3</v>
      </c>
      <c r="AC171">
        <v>0</v>
      </c>
      <c r="AD171" s="1">
        <v>43514</v>
      </c>
      <c r="AE171">
        <v>0</v>
      </c>
      <c r="AF171">
        <v>7</v>
      </c>
    </row>
    <row r="172" spans="1:32" x14ac:dyDescent="0.3">
      <c r="A172" t="s">
        <v>337</v>
      </c>
      <c r="B172">
        <v>1</v>
      </c>
      <c r="C172">
        <v>3</v>
      </c>
      <c r="D172">
        <v>51777</v>
      </c>
      <c r="E172" t="str">
        <f t="shared" si="10"/>
        <v>Medium</v>
      </c>
      <c r="F172">
        <v>0</v>
      </c>
      <c r="G172" t="str">
        <f t="shared" si="11"/>
        <v>No</v>
      </c>
      <c r="H172" t="s">
        <v>67</v>
      </c>
      <c r="I172" t="s">
        <v>87</v>
      </c>
      <c r="J172" s="1">
        <v>32421</v>
      </c>
      <c r="K172" s="2">
        <f t="shared" ca="1" si="12"/>
        <v>38</v>
      </c>
      <c r="L172" t="s">
        <v>49</v>
      </c>
      <c r="M172" t="s">
        <v>30</v>
      </c>
      <c r="N172" t="s">
        <v>31</v>
      </c>
      <c r="O172" t="s">
        <v>69</v>
      </c>
      <c r="P172" t="s">
        <v>64</v>
      </c>
      <c r="Q172" s="1">
        <v>40564</v>
      </c>
      <c r="S172" s="2">
        <f t="shared" ca="1" si="13"/>
        <v>15.205479452054794</v>
      </c>
      <c r="T172" s="2" t="str">
        <f t="shared" ca="1" si="14"/>
        <v>10+ Years</v>
      </c>
      <c r="U172" t="s">
        <v>34</v>
      </c>
      <c r="V172" t="s">
        <v>35</v>
      </c>
      <c r="W172" t="s">
        <v>44</v>
      </c>
      <c r="X172" t="s">
        <v>108</v>
      </c>
      <c r="Y172" t="s">
        <v>66</v>
      </c>
      <c r="Z172" t="s">
        <v>39</v>
      </c>
      <c r="AA172">
        <v>4.6399999999999997</v>
      </c>
      <c r="AB172">
        <v>4</v>
      </c>
      <c r="AC172">
        <v>5</v>
      </c>
      <c r="AD172" s="1">
        <v>43490</v>
      </c>
      <c r="AE172">
        <v>0</v>
      </c>
      <c r="AF172">
        <v>14</v>
      </c>
    </row>
    <row r="173" spans="1:32" x14ac:dyDescent="0.3">
      <c r="A173" t="s">
        <v>338</v>
      </c>
      <c r="B173">
        <v>5</v>
      </c>
      <c r="C173">
        <v>5</v>
      </c>
      <c r="D173">
        <v>67237</v>
      </c>
      <c r="E173" t="str">
        <f t="shared" si="10"/>
        <v>High</v>
      </c>
      <c r="F173">
        <v>1</v>
      </c>
      <c r="G173" t="str">
        <f t="shared" si="11"/>
        <v>Yes</v>
      </c>
      <c r="H173" t="s">
        <v>48</v>
      </c>
      <c r="I173" t="s">
        <v>28</v>
      </c>
      <c r="J173" s="1">
        <v>28120</v>
      </c>
      <c r="K173" s="2">
        <f t="shared" ca="1" si="12"/>
        <v>50</v>
      </c>
      <c r="L173" t="s">
        <v>49</v>
      </c>
      <c r="M173" t="s">
        <v>61</v>
      </c>
      <c r="N173" t="s">
        <v>31</v>
      </c>
      <c r="O173" t="s">
        <v>32</v>
      </c>
      <c r="P173" t="s">
        <v>33</v>
      </c>
      <c r="Q173" s="1">
        <v>41463</v>
      </c>
      <c r="R173" s="1">
        <v>42628</v>
      </c>
      <c r="S173" s="2">
        <f t="shared" ca="1" si="13"/>
        <v>3.1917808219178081</v>
      </c>
      <c r="T173" s="2" t="str">
        <f t="shared" ca="1" si="14"/>
        <v>3-5 Years</v>
      </c>
      <c r="U173" t="s">
        <v>115</v>
      </c>
      <c r="V173" t="s">
        <v>43</v>
      </c>
      <c r="W173" t="s">
        <v>36</v>
      </c>
      <c r="X173" t="s">
        <v>37</v>
      </c>
      <c r="Y173" t="s">
        <v>38</v>
      </c>
      <c r="Z173" t="s">
        <v>47</v>
      </c>
      <c r="AA173">
        <v>4.6500000000000004</v>
      </c>
      <c r="AB173">
        <v>4</v>
      </c>
      <c r="AC173">
        <v>0</v>
      </c>
      <c r="AD173" s="1">
        <v>42531</v>
      </c>
      <c r="AE173">
        <v>0</v>
      </c>
      <c r="AF173">
        <v>15</v>
      </c>
    </row>
    <row r="174" spans="1:32" x14ac:dyDescent="0.3">
      <c r="A174" t="s">
        <v>339</v>
      </c>
      <c r="B174">
        <v>1</v>
      </c>
      <c r="C174">
        <v>5</v>
      </c>
      <c r="D174">
        <v>73330</v>
      </c>
      <c r="E174" t="str">
        <f t="shared" si="10"/>
        <v>High</v>
      </c>
      <c r="F174">
        <v>0</v>
      </c>
      <c r="G174" t="str">
        <f t="shared" si="11"/>
        <v>No</v>
      </c>
      <c r="H174" t="s">
        <v>48</v>
      </c>
      <c r="I174" t="s">
        <v>28</v>
      </c>
      <c r="J174" s="1">
        <v>30038</v>
      </c>
      <c r="K174" s="2">
        <f t="shared" ca="1" si="12"/>
        <v>44</v>
      </c>
      <c r="L174" t="s">
        <v>49</v>
      </c>
      <c r="M174" t="s">
        <v>30</v>
      </c>
      <c r="N174" t="s">
        <v>31</v>
      </c>
      <c r="O174" t="s">
        <v>32</v>
      </c>
      <c r="P174" t="s">
        <v>64</v>
      </c>
      <c r="Q174" s="1">
        <v>41505</v>
      </c>
      <c r="S174" s="2">
        <f t="shared" ca="1" si="13"/>
        <v>12.627397260273973</v>
      </c>
      <c r="T174" s="2" t="str">
        <f t="shared" ca="1" si="14"/>
        <v>10+ Years</v>
      </c>
      <c r="U174" t="s">
        <v>34</v>
      </c>
      <c r="V174" t="s">
        <v>35</v>
      </c>
      <c r="W174" t="s">
        <v>36</v>
      </c>
      <c r="X174" t="s">
        <v>52</v>
      </c>
      <c r="Y174" t="s">
        <v>46</v>
      </c>
      <c r="Z174" t="s">
        <v>39</v>
      </c>
      <c r="AA174">
        <v>4.2</v>
      </c>
      <c r="AB174">
        <v>4</v>
      </c>
      <c r="AC174">
        <v>0</v>
      </c>
      <c r="AD174" s="1">
        <v>43508</v>
      </c>
      <c r="AE174">
        <v>0</v>
      </c>
      <c r="AF174">
        <v>19</v>
      </c>
    </row>
    <row r="175" spans="1:32" x14ac:dyDescent="0.3">
      <c r="A175" t="s">
        <v>340</v>
      </c>
      <c r="B175">
        <v>3</v>
      </c>
      <c r="C175">
        <v>5</v>
      </c>
      <c r="D175">
        <v>52057</v>
      </c>
      <c r="E175" t="str">
        <f t="shared" si="10"/>
        <v>Medium</v>
      </c>
      <c r="F175">
        <v>0</v>
      </c>
      <c r="G175" t="str">
        <f t="shared" si="11"/>
        <v>No</v>
      </c>
      <c r="H175" t="s">
        <v>27</v>
      </c>
      <c r="I175" t="s">
        <v>28</v>
      </c>
      <c r="J175" s="1">
        <v>27689</v>
      </c>
      <c r="K175" s="2">
        <f t="shared" ca="1" si="12"/>
        <v>51</v>
      </c>
      <c r="L175" t="s">
        <v>49</v>
      </c>
      <c r="M175" t="s">
        <v>41</v>
      </c>
      <c r="N175" t="s">
        <v>31</v>
      </c>
      <c r="O175" t="s">
        <v>32</v>
      </c>
      <c r="P175" t="s">
        <v>64</v>
      </c>
      <c r="Q175" s="1">
        <v>42051</v>
      </c>
      <c r="S175" s="2">
        <f t="shared" ca="1" si="13"/>
        <v>11.131506849315068</v>
      </c>
      <c r="T175" s="2" t="str">
        <f t="shared" ca="1" si="14"/>
        <v>10+ Years</v>
      </c>
      <c r="U175" t="s">
        <v>34</v>
      </c>
      <c r="V175" t="s">
        <v>35</v>
      </c>
      <c r="W175" t="s">
        <v>36</v>
      </c>
      <c r="X175" t="s">
        <v>52</v>
      </c>
      <c r="Y175" t="s">
        <v>119</v>
      </c>
      <c r="Z175" t="s">
        <v>47</v>
      </c>
      <c r="AA175">
        <v>5</v>
      </c>
      <c r="AB175">
        <v>3</v>
      </c>
      <c r="AC175">
        <v>0</v>
      </c>
      <c r="AD175" s="1">
        <v>43488</v>
      </c>
      <c r="AE175">
        <v>0</v>
      </c>
      <c r="AF175">
        <v>6</v>
      </c>
    </row>
    <row r="176" spans="1:32" x14ac:dyDescent="0.3">
      <c r="A176" t="s">
        <v>341</v>
      </c>
      <c r="B176">
        <v>5</v>
      </c>
      <c r="C176">
        <v>5</v>
      </c>
      <c r="D176">
        <v>47434</v>
      </c>
      <c r="E176" t="str">
        <f t="shared" si="10"/>
        <v>Medium</v>
      </c>
      <c r="F176">
        <v>1</v>
      </c>
      <c r="G176" t="str">
        <f t="shared" si="11"/>
        <v>Yes</v>
      </c>
      <c r="H176" t="s">
        <v>27</v>
      </c>
      <c r="I176" t="s">
        <v>28</v>
      </c>
      <c r="J176" s="1">
        <v>26709</v>
      </c>
      <c r="K176" s="2">
        <f t="shared" ca="1" si="12"/>
        <v>53</v>
      </c>
      <c r="L176" t="s">
        <v>49</v>
      </c>
      <c r="M176" t="s">
        <v>30</v>
      </c>
      <c r="N176" t="s">
        <v>31</v>
      </c>
      <c r="O176" t="s">
        <v>69</v>
      </c>
      <c r="P176" t="s">
        <v>64</v>
      </c>
      <c r="Q176" s="1">
        <v>40854</v>
      </c>
      <c r="R176" s="1">
        <v>42322</v>
      </c>
      <c r="S176" s="2">
        <f t="shared" ca="1" si="13"/>
        <v>4.021917808219178</v>
      </c>
      <c r="T176" s="2" t="str">
        <f t="shared" ca="1" si="14"/>
        <v>3-5 Years</v>
      </c>
      <c r="U176" t="s">
        <v>70</v>
      </c>
      <c r="V176" t="s">
        <v>43</v>
      </c>
      <c r="W176" t="s">
        <v>36</v>
      </c>
      <c r="X176" t="s">
        <v>55</v>
      </c>
      <c r="Y176" t="s">
        <v>66</v>
      </c>
      <c r="Z176" t="s">
        <v>39</v>
      </c>
      <c r="AA176">
        <v>5</v>
      </c>
      <c r="AB176">
        <v>4</v>
      </c>
      <c r="AC176">
        <v>0</v>
      </c>
      <c r="AD176" s="1">
        <v>42037</v>
      </c>
      <c r="AE176">
        <v>0</v>
      </c>
      <c r="AF176">
        <v>17</v>
      </c>
    </row>
    <row r="177" spans="1:32" x14ac:dyDescent="0.3">
      <c r="A177" t="s">
        <v>342</v>
      </c>
      <c r="B177">
        <v>5</v>
      </c>
      <c r="C177">
        <v>5</v>
      </c>
      <c r="D177">
        <v>52788</v>
      </c>
      <c r="E177" t="str">
        <f t="shared" si="10"/>
        <v>Medium</v>
      </c>
      <c r="F177">
        <v>1</v>
      </c>
      <c r="G177" t="str">
        <f t="shared" si="11"/>
        <v>Yes</v>
      </c>
      <c r="H177" t="s">
        <v>27</v>
      </c>
      <c r="I177" t="s">
        <v>28</v>
      </c>
      <c r="J177" s="1">
        <v>26612</v>
      </c>
      <c r="K177" s="2">
        <f t="shared" ca="1" si="12"/>
        <v>54</v>
      </c>
      <c r="L177" t="s">
        <v>29</v>
      </c>
      <c r="M177" t="s">
        <v>61</v>
      </c>
      <c r="N177" t="s">
        <v>31</v>
      </c>
      <c r="O177" t="s">
        <v>32</v>
      </c>
      <c r="P177" t="s">
        <v>33</v>
      </c>
      <c r="Q177" s="1">
        <v>41176</v>
      </c>
      <c r="R177" s="1">
        <v>43004</v>
      </c>
      <c r="S177" s="2">
        <f t="shared" ca="1" si="13"/>
        <v>5.0082191780821921</v>
      </c>
      <c r="T177" s="2" t="str">
        <f t="shared" ca="1" si="14"/>
        <v>6-10 Years</v>
      </c>
      <c r="U177" t="s">
        <v>50</v>
      </c>
      <c r="V177" t="s">
        <v>43</v>
      </c>
      <c r="W177" t="s">
        <v>36</v>
      </c>
      <c r="X177" t="s">
        <v>57</v>
      </c>
      <c r="Y177" t="s">
        <v>46</v>
      </c>
      <c r="Z177" t="s">
        <v>47</v>
      </c>
      <c r="AA177">
        <v>3.08</v>
      </c>
      <c r="AB177">
        <v>4</v>
      </c>
      <c r="AC177">
        <v>0</v>
      </c>
      <c r="AD177" s="1">
        <v>42826</v>
      </c>
      <c r="AE177">
        <v>0</v>
      </c>
      <c r="AF177">
        <v>18</v>
      </c>
    </row>
    <row r="178" spans="1:32" x14ac:dyDescent="0.3">
      <c r="A178" t="s">
        <v>343</v>
      </c>
      <c r="B178">
        <v>1</v>
      </c>
      <c r="C178">
        <v>5</v>
      </c>
      <c r="D178">
        <v>45395</v>
      </c>
      <c r="E178" t="str">
        <f t="shared" si="10"/>
        <v>Medium</v>
      </c>
      <c r="F178">
        <v>0</v>
      </c>
      <c r="G178" t="str">
        <f t="shared" si="11"/>
        <v>No</v>
      </c>
      <c r="H178" t="s">
        <v>27</v>
      </c>
      <c r="I178" t="s">
        <v>28</v>
      </c>
      <c r="J178" s="1">
        <v>31600</v>
      </c>
      <c r="K178" s="2">
        <f t="shared" ca="1" si="12"/>
        <v>40</v>
      </c>
      <c r="L178" t="s">
        <v>49</v>
      </c>
      <c r="M178" t="s">
        <v>30</v>
      </c>
      <c r="N178" t="s">
        <v>31</v>
      </c>
      <c r="O178" t="s">
        <v>32</v>
      </c>
      <c r="P178" t="s">
        <v>33</v>
      </c>
      <c r="Q178" s="1">
        <v>41645</v>
      </c>
      <c r="S178" s="2">
        <f t="shared" ca="1" si="13"/>
        <v>12.243835616438357</v>
      </c>
      <c r="T178" s="2" t="str">
        <f t="shared" ca="1" si="14"/>
        <v>10+ Years</v>
      </c>
      <c r="U178" t="s">
        <v>34</v>
      </c>
      <c r="V178" t="s">
        <v>35</v>
      </c>
      <c r="W178" t="s">
        <v>36</v>
      </c>
      <c r="X178" t="s">
        <v>62</v>
      </c>
      <c r="Y178" t="s">
        <v>38</v>
      </c>
      <c r="Z178" t="s">
        <v>47</v>
      </c>
      <c r="AA178">
        <v>4.5999999999999996</v>
      </c>
      <c r="AB178">
        <v>4</v>
      </c>
      <c r="AC178">
        <v>0</v>
      </c>
      <c r="AD178" s="1">
        <v>43522</v>
      </c>
      <c r="AE178">
        <v>0</v>
      </c>
      <c r="AF178">
        <v>14</v>
      </c>
    </row>
    <row r="179" spans="1:32" x14ac:dyDescent="0.3">
      <c r="A179" t="s">
        <v>344</v>
      </c>
      <c r="B179">
        <v>2</v>
      </c>
      <c r="C179">
        <v>5</v>
      </c>
      <c r="D179">
        <v>62385</v>
      </c>
      <c r="E179" t="str">
        <f t="shared" si="10"/>
        <v>High</v>
      </c>
      <c r="F179">
        <v>0</v>
      </c>
      <c r="G179" t="str">
        <f t="shared" si="11"/>
        <v>No</v>
      </c>
      <c r="H179" t="s">
        <v>48</v>
      </c>
      <c r="I179" t="s">
        <v>28</v>
      </c>
      <c r="J179" s="1">
        <v>27997</v>
      </c>
      <c r="K179" s="2">
        <f t="shared" ca="1" si="12"/>
        <v>50</v>
      </c>
      <c r="L179" t="s">
        <v>49</v>
      </c>
      <c r="M179" t="s">
        <v>41</v>
      </c>
      <c r="N179" t="s">
        <v>31</v>
      </c>
      <c r="O179" t="s">
        <v>32</v>
      </c>
      <c r="P179" t="s">
        <v>33</v>
      </c>
      <c r="Q179" s="1">
        <v>42501</v>
      </c>
      <c r="S179" s="2">
        <f t="shared" ca="1" si="13"/>
        <v>9.8986301369863021</v>
      </c>
      <c r="T179" s="2" t="str">
        <f t="shared" ca="1" si="14"/>
        <v>6-10 Years</v>
      </c>
      <c r="U179" t="s">
        <v>34</v>
      </c>
      <c r="V179" t="s">
        <v>35</v>
      </c>
      <c r="W179" t="s">
        <v>36</v>
      </c>
      <c r="X179" t="s">
        <v>55</v>
      </c>
      <c r="Y179" t="s">
        <v>38</v>
      </c>
      <c r="Z179" t="s">
        <v>47</v>
      </c>
      <c r="AA179">
        <v>5</v>
      </c>
      <c r="AB179">
        <v>3</v>
      </c>
      <c r="AC179">
        <v>0</v>
      </c>
      <c r="AD179" s="1">
        <v>43486</v>
      </c>
      <c r="AE179">
        <v>0</v>
      </c>
      <c r="AF179">
        <v>4</v>
      </c>
    </row>
    <row r="180" spans="1:32" x14ac:dyDescent="0.3">
      <c r="A180" t="s">
        <v>345</v>
      </c>
      <c r="B180">
        <v>5</v>
      </c>
      <c r="C180">
        <v>5</v>
      </c>
      <c r="D180">
        <v>68407</v>
      </c>
      <c r="E180" t="str">
        <f t="shared" si="10"/>
        <v>High</v>
      </c>
      <c r="F180">
        <v>1</v>
      </c>
      <c r="G180" t="str">
        <f t="shared" si="11"/>
        <v>Yes</v>
      </c>
      <c r="H180" t="s">
        <v>48</v>
      </c>
      <c r="I180" t="s">
        <v>28</v>
      </c>
      <c r="J180" s="1">
        <v>31756</v>
      </c>
      <c r="K180" s="2">
        <f t="shared" ca="1" si="12"/>
        <v>40</v>
      </c>
      <c r="L180" t="s">
        <v>49</v>
      </c>
      <c r="M180" t="s">
        <v>41</v>
      </c>
      <c r="N180" t="s">
        <v>31</v>
      </c>
      <c r="O180" t="s">
        <v>32</v>
      </c>
      <c r="P180" t="s">
        <v>75</v>
      </c>
      <c r="Q180" s="1">
        <v>40729</v>
      </c>
      <c r="R180" s="1">
        <v>41140</v>
      </c>
      <c r="S180" s="2">
        <f t="shared" ca="1" si="13"/>
        <v>1.1260273972602739</v>
      </c>
      <c r="T180" s="2" t="str">
        <f t="shared" ca="1" si="14"/>
        <v>0-2 Years</v>
      </c>
      <c r="U180" t="s">
        <v>70</v>
      </c>
      <c r="V180" t="s">
        <v>43</v>
      </c>
      <c r="W180" t="s">
        <v>36</v>
      </c>
      <c r="X180" t="s">
        <v>57</v>
      </c>
      <c r="Y180" t="s">
        <v>38</v>
      </c>
      <c r="Z180" t="s">
        <v>47</v>
      </c>
      <c r="AA180">
        <v>5</v>
      </c>
      <c r="AB180">
        <v>4</v>
      </c>
      <c r="AC180">
        <v>0</v>
      </c>
      <c r="AD180" s="1">
        <v>41092</v>
      </c>
      <c r="AE180">
        <v>0</v>
      </c>
      <c r="AF180">
        <v>16</v>
      </c>
    </row>
    <row r="181" spans="1:32" x14ac:dyDescent="0.3">
      <c r="A181" t="s">
        <v>346</v>
      </c>
      <c r="B181">
        <v>1</v>
      </c>
      <c r="C181">
        <v>5</v>
      </c>
      <c r="D181">
        <v>61349</v>
      </c>
      <c r="E181" t="str">
        <f t="shared" si="10"/>
        <v>High</v>
      </c>
      <c r="F181">
        <v>0</v>
      </c>
      <c r="G181" t="str">
        <f t="shared" si="11"/>
        <v>No</v>
      </c>
      <c r="H181" t="s">
        <v>27</v>
      </c>
      <c r="I181" t="s">
        <v>28</v>
      </c>
      <c r="J181" s="1">
        <v>27340</v>
      </c>
      <c r="K181" s="2">
        <f t="shared" ca="1" si="12"/>
        <v>52</v>
      </c>
      <c r="L181" t="s">
        <v>49</v>
      </c>
      <c r="M181" t="s">
        <v>41</v>
      </c>
      <c r="N181" t="s">
        <v>31</v>
      </c>
      <c r="O181" t="s">
        <v>32</v>
      </c>
      <c r="P181" t="s">
        <v>33</v>
      </c>
      <c r="Q181" s="1">
        <v>41589</v>
      </c>
      <c r="S181" s="2">
        <f t="shared" ca="1" si="13"/>
        <v>12.397260273972602</v>
      </c>
      <c r="T181" s="2" t="str">
        <f t="shared" ca="1" si="14"/>
        <v>10+ Years</v>
      </c>
      <c r="U181" t="s">
        <v>34</v>
      </c>
      <c r="V181" t="s">
        <v>35</v>
      </c>
      <c r="W181" t="s">
        <v>36</v>
      </c>
      <c r="X181" t="s">
        <v>65</v>
      </c>
      <c r="Y181" t="s">
        <v>38</v>
      </c>
      <c r="Z181" t="s">
        <v>47</v>
      </c>
      <c r="AA181">
        <v>4.0999999999999996</v>
      </c>
      <c r="AB181">
        <v>3</v>
      </c>
      <c r="AC181">
        <v>0</v>
      </c>
      <c r="AD181" s="1">
        <v>43487</v>
      </c>
      <c r="AE181">
        <v>0</v>
      </c>
      <c r="AF181">
        <v>11</v>
      </c>
    </row>
    <row r="182" spans="1:32" x14ac:dyDescent="0.3">
      <c r="A182" t="s">
        <v>347</v>
      </c>
      <c r="B182">
        <v>1</v>
      </c>
      <c r="C182">
        <v>4</v>
      </c>
      <c r="D182">
        <v>105688</v>
      </c>
      <c r="E182" t="str">
        <f t="shared" si="10"/>
        <v>High</v>
      </c>
      <c r="F182">
        <v>0</v>
      </c>
      <c r="G182" t="str">
        <f t="shared" si="11"/>
        <v>No</v>
      </c>
      <c r="H182" t="s">
        <v>58</v>
      </c>
      <c r="I182" t="s">
        <v>28</v>
      </c>
      <c r="J182" s="1">
        <v>32088</v>
      </c>
      <c r="K182" s="2">
        <f t="shared" ca="1" si="12"/>
        <v>39</v>
      </c>
      <c r="L182" t="s">
        <v>49</v>
      </c>
      <c r="M182" t="s">
        <v>30</v>
      </c>
      <c r="N182" t="s">
        <v>31</v>
      </c>
      <c r="O182" t="s">
        <v>32</v>
      </c>
      <c r="P182" t="s">
        <v>83</v>
      </c>
      <c r="Q182" s="1">
        <v>41589</v>
      </c>
      <c r="S182" s="2">
        <f t="shared" ca="1" si="13"/>
        <v>12.397260273972602</v>
      </c>
      <c r="T182" s="2" t="str">
        <f t="shared" ca="1" si="14"/>
        <v>10+ Years</v>
      </c>
      <c r="U182" t="s">
        <v>34</v>
      </c>
      <c r="V182" t="s">
        <v>35</v>
      </c>
      <c r="W182" t="s">
        <v>59</v>
      </c>
      <c r="X182" t="s">
        <v>60</v>
      </c>
      <c r="Y182" t="s">
        <v>56</v>
      </c>
      <c r="Z182" t="s">
        <v>47</v>
      </c>
      <c r="AA182">
        <v>4.5</v>
      </c>
      <c r="AB182">
        <v>5</v>
      </c>
      <c r="AC182">
        <v>4</v>
      </c>
      <c r="AD182" s="1">
        <v>43479</v>
      </c>
      <c r="AE182">
        <v>0</v>
      </c>
      <c r="AF182">
        <v>14</v>
      </c>
    </row>
    <row r="183" spans="1:32" x14ac:dyDescent="0.3">
      <c r="A183" t="s">
        <v>348</v>
      </c>
      <c r="B183">
        <v>1</v>
      </c>
      <c r="C183">
        <v>5</v>
      </c>
      <c r="D183">
        <v>54132</v>
      </c>
      <c r="E183" t="str">
        <f t="shared" si="10"/>
        <v>Medium</v>
      </c>
      <c r="F183">
        <v>0</v>
      </c>
      <c r="G183" t="str">
        <f t="shared" si="11"/>
        <v>No</v>
      </c>
      <c r="H183" t="s">
        <v>27</v>
      </c>
      <c r="I183" t="s">
        <v>28</v>
      </c>
      <c r="J183" s="1">
        <v>28451</v>
      </c>
      <c r="K183" s="2">
        <f t="shared" ca="1" si="12"/>
        <v>49</v>
      </c>
      <c r="L183" t="s">
        <v>49</v>
      </c>
      <c r="M183" t="s">
        <v>41</v>
      </c>
      <c r="N183" t="s">
        <v>31</v>
      </c>
      <c r="O183" t="s">
        <v>32</v>
      </c>
      <c r="P183" t="s">
        <v>33</v>
      </c>
      <c r="Q183" s="1">
        <v>40694</v>
      </c>
      <c r="S183" s="2">
        <f t="shared" ca="1" si="13"/>
        <v>14.849315068493151</v>
      </c>
      <c r="T183" s="2" t="str">
        <f t="shared" ca="1" si="14"/>
        <v>10+ Years</v>
      </c>
      <c r="U183" t="s">
        <v>34</v>
      </c>
      <c r="V183" t="s">
        <v>35</v>
      </c>
      <c r="W183" t="s">
        <v>36</v>
      </c>
      <c r="X183" t="s">
        <v>71</v>
      </c>
      <c r="Y183" t="s">
        <v>46</v>
      </c>
      <c r="Z183" t="s">
        <v>47</v>
      </c>
      <c r="AA183">
        <v>5</v>
      </c>
      <c r="AB183">
        <v>4</v>
      </c>
      <c r="AC183">
        <v>0</v>
      </c>
      <c r="AD183" s="1">
        <v>43475</v>
      </c>
      <c r="AE183">
        <v>0</v>
      </c>
      <c r="AF183">
        <v>8</v>
      </c>
    </row>
    <row r="184" spans="1:32" x14ac:dyDescent="0.3">
      <c r="A184" t="s">
        <v>349</v>
      </c>
      <c r="B184">
        <v>1</v>
      </c>
      <c r="C184">
        <v>5</v>
      </c>
      <c r="D184">
        <v>55315</v>
      </c>
      <c r="E184" t="str">
        <f t="shared" si="10"/>
        <v>Medium</v>
      </c>
      <c r="F184">
        <v>0</v>
      </c>
      <c r="G184" t="str">
        <f t="shared" si="11"/>
        <v>No</v>
      </c>
      <c r="H184" t="s">
        <v>48</v>
      </c>
      <c r="I184" t="s">
        <v>28</v>
      </c>
      <c r="J184" s="1">
        <v>31918</v>
      </c>
      <c r="K184" s="2">
        <f t="shared" ca="1" si="12"/>
        <v>39</v>
      </c>
      <c r="L184" t="s">
        <v>49</v>
      </c>
      <c r="M184" t="s">
        <v>30</v>
      </c>
      <c r="N184" t="s">
        <v>31</v>
      </c>
      <c r="O184" t="s">
        <v>32</v>
      </c>
      <c r="P184" t="s">
        <v>64</v>
      </c>
      <c r="Q184" s="1">
        <v>42093</v>
      </c>
      <c r="S184" s="2">
        <f t="shared" ca="1" si="13"/>
        <v>11.016438356164384</v>
      </c>
      <c r="T184" s="2" t="str">
        <f t="shared" ca="1" si="14"/>
        <v>10+ Years</v>
      </c>
      <c r="U184" t="s">
        <v>34</v>
      </c>
      <c r="V184" t="s">
        <v>35</v>
      </c>
      <c r="W184" t="s">
        <v>36</v>
      </c>
      <c r="X184" t="s">
        <v>62</v>
      </c>
      <c r="Y184" t="s">
        <v>38</v>
      </c>
      <c r="Z184" t="s">
        <v>47</v>
      </c>
      <c r="AA184">
        <v>5</v>
      </c>
      <c r="AB184">
        <v>5</v>
      </c>
      <c r="AC184">
        <v>0</v>
      </c>
      <c r="AD184" s="1">
        <v>43503</v>
      </c>
      <c r="AE184">
        <v>0</v>
      </c>
      <c r="AF184">
        <v>16</v>
      </c>
    </row>
    <row r="185" spans="1:32" x14ac:dyDescent="0.3">
      <c r="A185" t="s">
        <v>350</v>
      </c>
      <c r="B185">
        <v>1</v>
      </c>
      <c r="C185">
        <v>5</v>
      </c>
      <c r="D185">
        <v>62810</v>
      </c>
      <c r="E185" t="str">
        <f t="shared" si="10"/>
        <v>High</v>
      </c>
      <c r="F185">
        <v>0</v>
      </c>
      <c r="G185" t="str">
        <f t="shared" si="11"/>
        <v>No</v>
      </c>
      <c r="H185" t="s">
        <v>27</v>
      </c>
      <c r="I185" t="s">
        <v>28</v>
      </c>
      <c r="J185" s="1">
        <v>31784</v>
      </c>
      <c r="K185" s="2">
        <f t="shared" ca="1" si="12"/>
        <v>39</v>
      </c>
      <c r="L185" t="s">
        <v>49</v>
      </c>
      <c r="M185" t="s">
        <v>41</v>
      </c>
      <c r="N185" t="s">
        <v>31</v>
      </c>
      <c r="O185" t="s">
        <v>32</v>
      </c>
      <c r="P185" t="s">
        <v>64</v>
      </c>
      <c r="Q185" s="1">
        <v>41281</v>
      </c>
      <c r="S185" s="2">
        <f t="shared" ca="1" si="13"/>
        <v>13.241095890410959</v>
      </c>
      <c r="T185" s="2" t="str">
        <f t="shared" ca="1" si="14"/>
        <v>10+ Years</v>
      </c>
      <c r="U185" t="s">
        <v>34</v>
      </c>
      <c r="V185" t="s">
        <v>35</v>
      </c>
      <c r="W185" t="s">
        <v>36</v>
      </c>
      <c r="X185" t="s">
        <v>51</v>
      </c>
      <c r="Y185" t="s">
        <v>84</v>
      </c>
      <c r="Z185" t="s">
        <v>47</v>
      </c>
      <c r="AA185">
        <v>3.93</v>
      </c>
      <c r="AB185">
        <v>3</v>
      </c>
      <c r="AC185">
        <v>0</v>
      </c>
      <c r="AD185" s="1">
        <v>43495</v>
      </c>
      <c r="AE185">
        <v>0</v>
      </c>
      <c r="AF185">
        <v>20</v>
      </c>
    </row>
    <row r="186" spans="1:32" x14ac:dyDescent="0.3">
      <c r="A186" t="s">
        <v>351</v>
      </c>
      <c r="B186">
        <v>2</v>
      </c>
      <c r="C186">
        <v>6</v>
      </c>
      <c r="D186">
        <v>63291</v>
      </c>
      <c r="E186" t="str">
        <f t="shared" si="10"/>
        <v>High</v>
      </c>
      <c r="F186">
        <v>0</v>
      </c>
      <c r="G186" t="str">
        <f t="shared" si="11"/>
        <v>No</v>
      </c>
      <c r="H186" t="s">
        <v>97</v>
      </c>
      <c r="I186" t="s">
        <v>74</v>
      </c>
      <c r="J186" s="1">
        <v>30864</v>
      </c>
      <c r="K186" s="2">
        <f t="shared" ca="1" si="12"/>
        <v>42</v>
      </c>
      <c r="L186" t="s">
        <v>29</v>
      </c>
      <c r="M186" t="s">
        <v>41</v>
      </c>
      <c r="N186" t="s">
        <v>31</v>
      </c>
      <c r="O186" t="s">
        <v>32</v>
      </c>
      <c r="P186" t="s">
        <v>75</v>
      </c>
      <c r="Q186" s="1">
        <v>42557</v>
      </c>
      <c r="S186" s="2">
        <f t="shared" ca="1" si="13"/>
        <v>9.7452054794520553</v>
      </c>
      <c r="T186" s="2" t="str">
        <f t="shared" ca="1" si="14"/>
        <v>6-10 Years</v>
      </c>
      <c r="U186" t="s">
        <v>34</v>
      </c>
      <c r="V186" t="s">
        <v>35</v>
      </c>
      <c r="W186" t="s">
        <v>99</v>
      </c>
      <c r="X186" t="s">
        <v>105</v>
      </c>
      <c r="Y186" t="s">
        <v>119</v>
      </c>
      <c r="Z186" t="s">
        <v>47</v>
      </c>
      <c r="AA186">
        <v>3.4</v>
      </c>
      <c r="AB186">
        <v>4</v>
      </c>
      <c r="AC186">
        <v>0</v>
      </c>
      <c r="AD186" s="1">
        <v>43494</v>
      </c>
      <c r="AE186">
        <v>0</v>
      </c>
      <c r="AF186">
        <v>7</v>
      </c>
    </row>
    <row r="187" spans="1:32" x14ac:dyDescent="0.3">
      <c r="A187" t="s">
        <v>352</v>
      </c>
      <c r="B187">
        <v>5</v>
      </c>
      <c r="C187">
        <v>5</v>
      </c>
      <c r="D187">
        <v>62659</v>
      </c>
      <c r="E187" t="str">
        <f t="shared" si="10"/>
        <v>High</v>
      </c>
      <c r="F187">
        <v>1</v>
      </c>
      <c r="G187" t="str">
        <f t="shared" si="11"/>
        <v>Yes</v>
      </c>
      <c r="H187" t="s">
        <v>27</v>
      </c>
      <c r="I187" t="s">
        <v>28</v>
      </c>
      <c r="J187" s="1">
        <v>24988</v>
      </c>
      <c r="K187" s="2">
        <f t="shared" ca="1" si="12"/>
        <v>58</v>
      </c>
      <c r="L187" t="s">
        <v>49</v>
      </c>
      <c r="M187" t="s">
        <v>30</v>
      </c>
      <c r="N187" t="s">
        <v>31</v>
      </c>
      <c r="O187" t="s">
        <v>32</v>
      </c>
      <c r="P187" t="s">
        <v>64</v>
      </c>
      <c r="Q187" s="1">
        <v>41001</v>
      </c>
      <c r="R187" s="1">
        <v>42685</v>
      </c>
      <c r="S187" s="2">
        <f t="shared" ca="1" si="13"/>
        <v>4.6136986301369864</v>
      </c>
      <c r="T187" s="2" t="str">
        <f t="shared" ca="1" si="14"/>
        <v>3-5 Years</v>
      </c>
      <c r="U187" t="s">
        <v>70</v>
      </c>
      <c r="V187" t="s">
        <v>43</v>
      </c>
      <c r="W187" t="s">
        <v>36</v>
      </c>
      <c r="X187" t="s">
        <v>76</v>
      </c>
      <c r="Y187" t="s">
        <v>66</v>
      </c>
      <c r="Z187" t="s">
        <v>47</v>
      </c>
      <c r="AA187">
        <v>4.18</v>
      </c>
      <c r="AB187">
        <v>4</v>
      </c>
      <c r="AC187">
        <v>0</v>
      </c>
      <c r="AD187" s="1">
        <v>42405</v>
      </c>
      <c r="AE187">
        <v>0</v>
      </c>
      <c r="AF187">
        <v>17</v>
      </c>
    </row>
    <row r="188" spans="1:32" x14ac:dyDescent="0.3">
      <c r="A188" t="s">
        <v>353</v>
      </c>
      <c r="B188">
        <v>1</v>
      </c>
      <c r="C188">
        <v>5</v>
      </c>
      <c r="D188">
        <v>55688</v>
      </c>
      <c r="E188" t="str">
        <f t="shared" si="10"/>
        <v>Medium</v>
      </c>
      <c r="F188">
        <v>0</v>
      </c>
      <c r="G188" t="str">
        <f t="shared" si="11"/>
        <v>No</v>
      </c>
      <c r="H188" t="s">
        <v>27</v>
      </c>
      <c r="I188" t="s">
        <v>28</v>
      </c>
      <c r="J188" s="1">
        <v>28025</v>
      </c>
      <c r="K188" s="2">
        <f t="shared" ca="1" si="12"/>
        <v>50</v>
      </c>
      <c r="L188" t="s">
        <v>49</v>
      </c>
      <c r="M188" t="s">
        <v>30</v>
      </c>
      <c r="N188" t="s">
        <v>31</v>
      </c>
      <c r="O188" t="s">
        <v>32</v>
      </c>
      <c r="P188" t="s">
        <v>33</v>
      </c>
      <c r="Q188" s="1">
        <v>42093</v>
      </c>
      <c r="S188" s="2">
        <f t="shared" ca="1" si="13"/>
        <v>11.016438356164384</v>
      </c>
      <c r="T188" s="2" t="str">
        <f t="shared" ca="1" si="14"/>
        <v>10+ Years</v>
      </c>
      <c r="U188" t="s">
        <v>34</v>
      </c>
      <c r="V188" t="s">
        <v>35</v>
      </c>
      <c r="W188" t="s">
        <v>36</v>
      </c>
      <c r="X188" t="s">
        <v>37</v>
      </c>
      <c r="Y188" t="s">
        <v>84</v>
      </c>
      <c r="Z188" t="s">
        <v>47</v>
      </c>
      <c r="AA188">
        <v>5</v>
      </c>
      <c r="AB188">
        <v>4</v>
      </c>
      <c r="AC188">
        <v>0</v>
      </c>
      <c r="AD188" s="1">
        <v>43486</v>
      </c>
      <c r="AE188">
        <v>0</v>
      </c>
      <c r="AF188">
        <v>10</v>
      </c>
    </row>
    <row r="189" spans="1:32" x14ac:dyDescent="0.3">
      <c r="A189" t="s">
        <v>354</v>
      </c>
      <c r="B189">
        <v>1</v>
      </c>
      <c r="C189">
        <v>5</v>
      </c>
      <c r="D189">
        <v>83667</v>
      </c>
      <c r="E189" t="str">
        <f t="shared" si="10"/>
        <v>High</v>
      </c>
      <c r="F189">
        <v>0</v>
      </c>
      <c r="G189" t="str">
        <f t="shared" si="11"/>
        <v>No</v>
      </c>
      <c r="H189" t="s">
        <v>92</v>
      </c>
      <c r="I189" t="s">
        <v>28</v>
      </c>
      <c r="J189" s="1">
        <v>29808</v>
      </c>
      <c r="K189" s="2">
        <f t="shared" ca="1" si="12"/>
        <v>45</v>
      </c>
      <c r="L189" t="s">
        <v>29</v>
      </c>
      <c r="M189" t="s">
        <v>30</v>
      </c>
      <c r="N189" t="s">
        <v>31</v>
      </c>
      <c r="O189" t="s">
        <v>147</v>
      </c>
      <c r="P189" t="s">
        <v>148</v>
      </c>
      <c r="Q189" s="1">
        <v>41137</v>
      </c>
      <c r="S189" s="2">
        <f t="shared" ca="1" si="13"/>
        <v>13.635616438356164</v>
      </c>
      <c r="T189" s="2" t="str">
        <f t="shared" ca="1" si="14"/>
        <v>10+ Years</v>
      </c>
      <c r="U189" t="s">
        <v>34</v>
      </c>
      <c r="V189" t="s">
        <v>35</v>
      </c>
      <c r="W189" t="s">
        <v>36</v>
      </c>
      <c r="X189" t="s">
        <v>94</v>
      </c>
      <c r="Y189" t="s">
        <v>46</v>
      </c>
      <c r="Z189" t="s">
        <v>47</v>
      </c>
      <c r="AA189">
        <v>4.37</v>
      </c>
      <c r="AB189">
        <v>3</v>
      </c>
      <c r="AC189">
        <v>0</v>
      </c>
      <c r="AD189" s="1">
        <v>43479</v>
      </c>
      <c r="AE189">
        <v>0</v>
      </c>
      <c r="AF189">
        <v>2</v>
      </c>
    </row>
    <row r="190" spans="1:32" x14ac:dyDescent="0.3">
      <c r="A190" t="s">
        <v>355</v>
      </c>
      <c r="B190">
        <v>5</v>
      </c>
      <c r="C190">
        <v>5</v>
      </c>
      <c r="D190">
        <v>55800</v>
      </c>
      <c r="E190" t="str">
        <f t="shared" si="10"/>
        <v>Medium</v>
      </c>
      <c r="F190">
        <v>1</v>
      </c>
      <c r="G190" t="str">
        <f t="shared" si="11"/>
        <v>Yes</v>
      </c>
      <c r="H190" t="s">
        <v>48</v>
      </c>
      <c r="I190" t="s">
        <v>28</v>
      </c>
      <c r="J190" s="1">
        <v>31227</v>
      </c>
      <c r="K190" s="2">
        <f t="shared" ca="1" si="12"/>
        <v>41</v>
      </c>
      <c r="L190" t="s">
        <v>29</v>
      </c>
      <c r="M190" t="s">
        <v>30</v>
      </c>
      <c r="N190" t="s">
        <v>31</v>
      </c>
      <c r="O190" t="s">
        <v>32</v>
      </c>
      <c r="P190" t="s">
        <v>33</v>
      </c>
      <c r="Q190" s="1">
        <v>40770</v>
      </c>
      <c r="R190" s="1">
        <v>41886</v>
      </c>
      <c r="S190" s="2">
        <f t="shared" ca="1" si="13"/>
        <v>3.0575342465753423</v>
      </c>
      <c r="T190" s="2" t="str">
        <f t="shared" ca="1" si="14"/>
        <v>3-5 Years</v>
      </c>
      <c r="U190" t="s">
        <v>72</v>
      </c>
      <c r="V190" t="s">
        <v>43</v>
      </c>
      <c r="W190" t="s">
        <v>36</v>
      </c>
      <c r="X190" t="s">
        <v>65</v>
      </c>
      <c r="Y190" t="s">
        <v>38</v>
      </c>
      <c r="Z190" t="s">
        <v>114</v>
      </c>
      <c r="AA190">
        <v>3</v>
      </c>
      <c r="AB190">
        <v>2</v>
      </c>
      <c r="AC190">
        <v>0</v>
      </c>
      <c r="AD190" s="1">
        <v>41288</v>
      </c>
      <c r="AE190">
        <v>6</v>
      </c>
      <c r="AF190">
        <v>6</v>
      </c>
    </row>
    <row r="191" spans="1:32" x14ac:dyDescent="0.3">
      <c r="A191" t="s">
        <v>356</v>
      </c>
      <c r="B191">
        <v>1</v>
      </c>
      <c r="C191">
        <v>5</v>
      </c>
      <c r="D191">
        <v>58207</v>
      </c>
      <c r="E191" t="str">
        <f t="shared" si="10"/>
        <v>Medium</v>
      </c>
      <c r="F191">
        <v>0</v>
      </c>
      <c r="G191" t="str">
        <f t="shared" si="11"/>
        <v>No</v>
      </c>
      <c r="H191" t="s">
        <v>48</v>
      </c>
      <c r="I191" t="s">
        <v>28</v>
      </c>
      <c r="J191" s="1">
        <v>33833</v>
      </c>
      <c r="K191" s="2">
        <f t="shared" ca="1" si="12"/>
        <v>34</v>
      </c>
      <c r="L191" t="s">
        <v>29</v>
      </c>
      <c r="M191" t="s">
        <v>41</v>
      </c>
      <c r="N191" t="s">
        <v>31</v>
      </c>
      <c r="O191" t="s">
        <v>32</v>
      </c>
      <c r="P191" t="s">
        <v>33</v>
      </c>
      <c r="Q191" s="1">
        <v>40854</v>
      </c>
      <c r="S191" s="2">
        <f t="shared" ca="1" si="13"/>
        <v>14.41095890410959</v>
      </c>
      <c r="T191" s="2" t="str">
        <f t="shared" ca="1" si="14"/>
        <v>10+ Years</v>
      </c>
      <c r="U191" t="s">
        <v>34</v>
      </c>
      <c r="V191" t="s">
        <v>35</v>
      </c>
      <c r="W191" t="s">
        <v>36</v>
      </c>
      <c r="X191" t="s">
        <v>71</v>
      </c>
      <c r="Y191" t="s">
        <v>38</v>
      </c>
      <c r="Z191" t="s">
        <v>47</v>
      </c>
      <c r="AA191">
        <v>3.7</v>
      </c>
      <c r="AB191">
        <v>3</v>
      </c>
      <c r="AC191">
        <v>0</v>
      </c>
      <c r="AD191" s="1">
        <v>43473</v>
      </c>
      <c r="AE191">
        <v>0</v>
      </c>
      <c r="AF191">
        <v>14</v>
      </c>
    </row>
    <row r="192" spans="1:32" x14ac:dyDescent="0.3">
      <c r="A192" t="s">
        <v>357</v>
      </c>
      <c r="B192">
        <v>1</v>
      </c>
      <c r="C192">
        <v>3</v>
      </c>
      <c r="D192">
        <v>157000</v>
      </c>
      <c r="E192" t="str">
        <f t="shared" si="10"/>
        <v>High</v>
      </c>
      <c r="F192">
        <v>0</v>
      </c>
      <c r="G192" t="str">
        <f t="shared" si="11"/>
        <v>No</v>
      </c>
      <c r="H192" t="s">
        <v>149</v>
      </c>
      <c r="I192" t="s">
        <v>28</v>
      </c>
      <c r="J192" s="1">
        <v>31690</v>
      </c>
      <c r="K192" s="2">
        <f t="shared" ca="1" si="12"/>
        <v>40</v>
      </c>
      <c r="L192" t="s">
        <v>29</v>
      </c>
      <c r="M192" t="s">
        <v>41</v>
      </c>
      <c r="N192" t="s">
        <v>80</v>
      </c>
      <c r="O192" t="s">
        <v>69</v>
      </c>
      <c r="P192" t="s">
        <v>64</v>
      </c>
      <c r="Q192" s="1">
        <v>40954</v>
      </c>
      <c r="S192" s="2">
        <f t="shared" ca="1" si="13"/>
        <v>14.136986301369863</v>
      </c>
      <c r="T192" s="2" t="str">
        <f t="shared" ca="1" si="14"/>
        <v>10+ Years</v>
      </c>
      <c r="U192" t="s">
        <v>34</v>
      </c>
      <c r="V192" t="s">
        <v>35</v>
      </c>
      <c r="W192" t="s">
        <v>44</v>
      </c>
      <c r="X192" t="s">
        <v>102</v>
      </c>
      <c r="Y192" t="s">
        <v>66</v>
      </c>
      <c r="Z192" t="s">
        <v>85</v>
      </c>
      <c r="AA192">
        <v>2.39</v>
      </c>
      <c r="AB192">
        <v>3</v>
      </c>
      <c r="AC192">
        <v>6</v>
      </c>
      <c r="AD192" s="1">
        <v>43518</v>
      </c>
      <c r="AE192">
        <v>4</v>
      </c>
      <c r="AF192">
        <v>13</v>
      </c>
    </row>
    <row r="193" spans="1:32" x14ac:dyDescent="0.3">
      <c r="A193" t="s">
        <v>358</v>
      </c>
      <c r="B193">
        <v>1</v>
      </c>
      <c r="C193">
        <v>5</v>
      </c>
      <c r="D193">
        <v>72460</v>
      </c>
      <c r="E193" t="str">
        <f t="shared" si="10"/>
        <v>High</v>
      </c>
      <c r="F193">
        <v>0</v>
      </c>
      <c r="G193" t="str">
        <f t="shared" si="11"/>
        <v>No</v>
      </c>
      <c r="H193" t="s">
        <v>48</v>
      </c>
      <c r="I193" t="s">
        <v>28</v>
      </c>
      <c r="J193" s="1">
        <v>25682</v>
      </c>
      <c r="K193" s="2">
        <f t="shared" ca="1" si="12"/>
        <v>56</v>
      </c>
      <c r="L193" t="s">
        <v>49</v>
      </c>
      <c r="M193" t="s">
        <v>30</v>
      </c>
      <c r="N193" t="s">
        <v>31</v>
      </c>
      <c r="O193" t="s">
        <v>32</v>
      </c>
      <c r="P193" t="s">
        <v>64</v>
      </c>
      <c r="Q193" s="1">
        <v>41407</v>
      </c>
      <c r="S193" s="2">
        <f t="shared" ca="1" si="13"/>
        <v>12.895890410958904</v>
      </c>
      <c r="T193" s="2" t="str">
        <f t="shared" ca="1" si="14"/>
        <v>10+ Years</v>
      </c>
      <c r="U193" t="s">
        <v>34</v>
      </c>
      <c r="V193" t="s">
        <v>35</v>
      </c>
      <c r="W193" t="s">
        <v>36</v>
      </c>
      <c r="X193" t="s">
        <v>51</v>
      </c>
      <c r="Y193" t="s">
        <v>46</v>
      </c>
      <c r="Z193" t="s">
        <v>39</v>
      </c>
      <c r="AA193">
        <v>4.7</v>
      </c>
      <c r="AB193">
        <v>3</v>
      </c>
      <c r="AC193">
        <v>0</v>
      </c>
      <c r="AD193" s="1">
        <v>43479</v>
      </c>
      <c r="AE193">
        <v>0</v>
      </c>
      <c r="AF193">
        <v>1</v>
      </c>
    </row>
    <row r="194" spans="1:32" x14ac:dyDescent="0.3">
      <c r="A194" t="s">
        <v>359</v>
      </c>
      <c r="B194">
        <v>3</v>
      </c>
      <c r="C194">
        <v>5</v>
      </c>
      <c r="D194">
        <v>72106</v>
      </c>
      <c r="E194" t="str">
        <f t="shared" si="10"/>
        <v>High</v>
      </c>
      <c r="F194">
        <v>0</v>
      </c>
      <c r="G194" t="str">
        <f t="shared" si="11"/>
        <v>No</v>
      </c>
      <c r="H194" t="s">
        <v>48</v>
      </c>
      <c r="I194" t="s">
        <v>28</v>
      </c>
      <c r="J194" s="1">
        <v>28097</v>
      </c>
      <c r="K194" s="2">
        <f t="shared" ca="1" si="12"/>
        <v>50</v>
      </c>
      <c r="L194" t="s">
        <v>29</v>
      </c>
      <c r="M194" t="s">
        <v>30</v>
      </c>
      <c r="N194" t="s">
        <v>31</v>
      </c>
      <c r="O194" t="s">
        <v>32</v>
      </c>
      <c r="P194" t="s">
        <v>64</v>
      </c>
      <c r="Q194" s="1">
        <v>40917</v>
      </c>
      <c r="S194" s="2">
        <f t="shared" ca="1" si="13"/>
        <v>14.238356164383562</v>
      </c>
      <c r="T194" s="2" t="str">
        <f t="shared" ca="1" si="14"/>
        <v>10+ Years</v>
      </c>
      <c r="U194" t="s">
        <v>34</v>
      </c>
      <c r="V194" t="s">
        <v>35</v>
      </c>
      <c r="W194" t="s">
        <v>36</v>
      </c>
      <c r="X194" t="s">
        <v>76</v>
      </c>
      <c r="Y194" t="s">
        <v>66</v>
      </c>
      <c r="Z194" t="s">
        <v>47</v>
      </c>
      <c r="AA194">
        <v>4.0999999999999996</v>
      </c>
      <c r="AB194">
        <v>4</v>
      </c>
      <c r="AC194">
        <v>0</v>
      </c>
      <c r="AD194" s="1">
        <v>43496</v>
      </c>
      <c r="AE194">
        <v>0</v>
      </c>
      <c r="AF194">
        <v>12</v>
      </c>
    </row>
    <row r="195" spans="1:32" x14ac:dyDescent="0.3">
      <c r="A195" t="s">
        <v>360</v>
      </c>
      <c r="B195">
        <v>1</v>
      </c>
      <c r="C195">
        <v>3</v>
      </c>
      <c r="D195">
        <v>52599</v>
      </c>
      <c r="E195" t="str">
        <f t="shared" ref="E195:E258" si="15">IF(D195&lt;30000,"Low",IF(D195&lt;60000,"Medium", "High"))</f>
        <v>Medium</v>
      </c>
      <c r="F195">
        <v>0</v>
      </c>
      <c r="G195" t="str">
        <f t="shared" ref="G195:G258" si="16">IF(F195=1,"Yes", "No")</f>
        <v>No</v>
      </c>
      <c r="H195" t="s">
        <v>124</v>
      </c>
      <c r="I195" t="s">
        <v>28</v>
      </c>
      <c r="J195" s="1">
        <v>28949</v>
      </c>
      <c r="K195" s="2">
        <f t="shared" ref="K195:K258" ca="1" si="17">YEAR(TODAY())-YEAR(J195)</f>
        <v>47</v>
      </c>
      <c r="L195" t="s">
        <v>49</v>
      </c>
      <c r="M195" t="s">
        <v>41</v>
      </c>
      <c r="N195" t="s">
        <v>31</v>
      </c>
      <c r="O195" t="s">
        <v>32</v>
      </c>
      <c r="P195" t="s">
        <v>33</v>
      </c>
      <c r="Q195" s="1">
        <v>42051</v>
      </c>
      <c r="S195" s="2">
        <f t="shared" ref="S195:S258" ca="1" si="18">IF(ISBLANK(R195), (TODAY()-Q195)/365,(R195-Q195)/365)</f>
        <v>11.131506849315068</v>
      </c>
      <c r="T195" s="2" t="str">
        <f t="shared" ref="T195:T258" ca="1" si="19">IF(S195&lt;=2,"0-2 Years", IF(S195&lt;=5,"3-5 Years", IF(S195&lt;=10,"6-10 Years", "10+ Years")))</f>
        <v>10+ Years</v>
      </c>
      <c r="U195" t="s">
        <v>34</v>
      </c>
      <c r="V195" t="s">
        <v>35</v>
      </c>
      <c r="W195" t="s">
        <v>44</v>
      </c>
      <c r="X195" t="s">
        <v>68</v>
      </c>
      <c r="Y195" t="s">
        <v>84</v>
      </c>
      <c r="Z195" t="s">
        <v>47</v>
      </c>
      <c r="AA195">
        <v>3.81</v>
      </c>
      <c r="AB195">
        <v>3</v>
      </c>
      <c r="AC195">
        <v>6</v>
      </c>
      <c r="AD195" s="1">
        <v>43507</v>
      </c>
      <c r="AE195">
        <v>0</v>
      </c>
      <c r="AF195">
        <v>6</v>
      </c>
    </row>
    <row r="196" spans="1:32" x14ac:dyDescent="0.3">
      <c r="A196" t="s">
        <v>361</v>
      </c>
      <c r="B196">
        <v>1</v>
      </c>
      <c r="C196">
        <v>5</v>
      </c>
      <c r="D196">
        <v>63430</v>
      </c>
      <c r="E196" t="str">
        <f t="shared" si="15"/>
        <v>High</v>
      </c>
      <c r="F196">
        <v>0</v>
      </c>
      <c r="G196" t="str">
        <f t="shared" si="16"/>
        <v>No</v>
      </c>
      <c r="H196" t="s">
        <v>27</v>
      </c>
      <c r="I196" t="s">
        <v>28</v>
      </c>
      <c r="J196" s="1">
        <v>30870</v>
      </c>
      <c r="K196" s="2">
        <f t="shared" ca="1" si="17"/>
        <v>42</v>
      </c>
      <c r="L196" t="s">
        <v>49</v>
      </c>
      <c r="M196" t="s">
        <v>53</v>
      </c>
      <c r="N196" t="s">
        <v>31</v>
      </c>
      <c r="O196" t="s">
        <v>32</v>
      </c>
      <c r="P196" t="s">
        <v>33</v>
      </c>
      <c r="Q196" s="1">
        <v>41365</v>
      </c>
      <c r="S196" s="2">
        <f t="shared" ca="1" si="18"/>
        <v>13.010958904109589</v>
      </c>
      <c r="T196" s="2" t="str">
        <f t="shared" ca="1" si="19"/>
        <v>10+ Years</v>
      </c>
      <c r="U196" t="s">
        <v>34</v>
      </c>
      <c r="V196" t="s">
        <v>35</v>
      </c>
      <c r="W196" t="s">
        <v>36</v>
      </c>
      <c r="X196" t="s">
        <v>52</v>
      </c>
      <c r="Y196" t="s">
        <v>38</v>
      </c>
      <c r="Z196" t="s">
        <v>47</v>
      </c>
      <c r="AA196">
        <v>4.4000000000000004</v>
      </c>
      <c r="AB196">
        <v>4</v>
      </c>
      <c r="AC196">
        <v>0</v>
      </c>
      <c r="AD196" s="1">
        <v>43482</v>
      </c>
      <c r="AE196">
        <v>0</v>
      </c>
      <c r="AF196">
        <v>18</v>
      </c>
    </row>
    <row r="197" spans="1:32" x14ac:dyDescent="0.3">
      <c r="A197" t="s">
        <v>362</v>
      </c>
      <c r="B197">
        <v>1</v>
      </c>
      <c r="C197">
        <v>5</v>
      </c>
      <c r="D197">
        <v>74417</v>
      </c>
      <c r="E197" t="str">
        <f t="shared" si="15"/>
        <v>High</v>
      </c>
      <c r="F197">
        <v>0</v>
      </c>
      <c r="G197" t="str">
        <f t="shared" si="16"/>
        <v>No</v>
      </c>
      <c r="H197" t="s">
        <v>48</v>
      </c>
      <c r="I197" t="s">
        <v>28</v>
      </c>
      <c r="J197" s="1">
        <v>27364</v>
      </c>
      <c r="K197" s="2">
        <f t="shared" ca="1" si="17"/>
        <v>52</v>
      </c>
      <c r="L197" t="s">
        <v>29</v>
      </c>
      <c r="M197" t="s">
        <v>96</v>
      </c>
      <c r="N197" t="s">
        <v>31</v>
      </c>
      <c r="O197" t="s">
        <v>32</v>
      </c>
      <c r="P197" t="s">
        <v>64</v>
      </c>
      <c r="Q197" s="1">
        <v>41407</v>
      </c>
      <c r="S197" s="2">
        <f t="shared" ca="1" si="18"/>
        <v>12.895890410958904</v>
      </c>
      <c r="T197" s="2" t="str">
        <f t="shared" ca="1" si="19"/>
        <v>10+ Years</v>
      </c>
      <c r="U197" t="s">
        <v>34</v>
      </c>
      <c r="V197" t="s">
        <v>35</v>
      </c>
      <c r="W197" t="s">
        <v>36</v>
      </c>
      <c r="X197" t="s">
        <v>37</v>
      </c>
      <c r="Y197" t="s">
        <v>38</v>
      </c>
      <c r="Z197" t="s">
        <v>47</v>
      </c>
      <c r="AA197">
        <v>4.29</v>
      </c>
      <c r="AB197">
        <v>5</v>
      </c>
      <c r="AC197">
        <v>0</v>
      </c>
      <c r="AD197" s="1">
        <v>43493</v>
      </c>
      <c r="AE197">
        <v>0</v>
      </c>
      <c r="AF197">
        <v>11</v>
      </c>
    </row>
    <row r="198" spans="1:32" x14ac:dyDescent="0.3">
      <c r="A198" t="s">
        <v>363</v>
      </c>
      <c r="B198">
        <v>1</v>
      </c>
      <c r="C198">
        <v>5</v>
      </c>
      <c r="D198">
        <v>57575</v>
      </c>
      <c r="E198" t="str">
        <f t="shared" si="15"/>
        <v>Medium</v>
      </c>
      <c r="F198">
        <v>0</v>
      </c>
      <c r="G198" t="str">
        <f t="shared" si="16"/>
        <v>No</v>
      </c>
      <c r="H198" t="s">
        <v>27</v>
      </c>
      <c r="I198" t="s">
        <v>28</v>
      </c>
      <c r="J198" s="1">
        <v>29329</v>
      </c>
      <c r="K198" s="2">
        <f t="shared" ca="1" si="17"/>
        <v>46</v>
      </c>
      <c r="L198" t="s">
        <v>29</v>
      </c>
      <c r="M198" t="s">
        <v>30</v>
      </c>
      <c r="N198" t="s">
        <v>31</v>
      </c>
      <c r="O198" t="s">
        <v>32</v>
      </c>
      <c r="P198" t="s">
        <v>83</v>
      </c>
      <c r="Q198" s="1">
        <v>41463</v>
      </c>
      <c r="S198" s="2">
        <f t="shared" ca="1" si="18"/>
        <v>12.742465753424657</v>
      </c>
      <c r="T198" s="2" t="str">
        <f t="shared" ca="1" si="19"/>
        <v>10+ Years</v>
      </c>
      <c r="U198" t="s">
        <v>34</v>
      </c>
      <c r="V198" t="s">
        <v>35</v>
      </c>
      <c r="W198" t="s">
        <v>36</v>
      </c>
      <c r="X198" t="s">
        <v>51</v>
      </c>
      <c r="Y198" t="s">
        <v>38</v>
      </c>
      <c r="Z198" t="s">
        <v>47</v>
      </c>
      <c r="AA198">
        <v>4.0999999999999996</v>
      </c>
      <c r="AB198">
        <v>4</v>
      </c>
      <c r="AC198">
        <v>0</v>
      </c>
      <c r="AD198" s="1">
        <v>43487</v>
      </c>
      <c r="AE198">
        <v>0</v>
      </c>
      <c r="AF198">
        <v>13</v>
      </c>
    </row>
    <row r="199" spans="1:32" x14ac:dyDescent="0.3">
      <c r="A199" t="s">
        <v>364</v>
      </c>
      <c r="B199">
        <v>1</v>
      </c>
      <c r="C199">
        <v>3</v>
      </c>
      <c r="D199">
        <v>87921</v>
      </c>
      <c r="E199" t="str">
        <f t="shared" si="15"/>
        <v>High</v>
      </c>
      <c r="F199">
        <v>0</v>
      </c>
      <c r="G199" t="str">
        <f t="shared" si="16"/>
        <v>No</v>
      </c>
      <c r="H199" t="s">
        <v>144</v>
      </c>
      <c r="I199" t="s">
        <v>28</v>
      </c>
      <c r="J199" s="1">
        <v>25683</v>
      </c>
      <c r="K199" s="2">
        <f t="shared" ca="1" si="17"/>
        <v>56</v>
      </c>
      <c r="L199" t="s">
        <v>29</v>
      </c>
      <c r="M199" t="s">
        <v>30</v>
      </c>
      <c r="N199" t="s">
        <v>31</v>
      </c>
      <c r="O199" t="s">
        <v>32</v>
      </c>
      <c r="P199" t="s">
        <v>83</v>
      </c>
      <c r="Q199" s="1">
        <v>42776</v>
      </c>
      <c r="S199" s="2">
        <f t="shared" ca="1" si="18"/>
        <v>9.1452054794520556</v>
      </c>
      <c r="T199" s="2" t="str">
        <f t="shared" ca="1" si="19"/>
        <v>6-10 Years</v>
      </c>
      <c r="U199" t="s">
        <v>34</v>
      </c>
      <c r="V199" t="s">
        <v>35</v>
      </c>
      <c r="W199" t="s">
        <v>44</v>
      </c>
      <c r="X199" t="s">
        <v>117</v>
      </c>
      <c r="Y199" t="s">
        <v>46</v>
      </c>
      <c r="Z199" t="s">
        <v>47</v>
      </c>
      <c r="AA199">
        <v>5</v>
      </c>
      <c r="AB199">
        <v>3</v>
      </c>
      <c r="AC199">
        <v>6</v>
      </c>
      <c r="AD199" s="1">
        <v>43521</v>
      </c>
      <c r="AE199">
        <v>0</v>
      </c>
      <c r="AF199">
        <v>17</v>
      </c>
    </row>
    <row r="200" spans="1:32" x14ac:dyDescent="0.3">
      <c r="A200" t="s">
        <v>365</v>
      </c>
      <c r="B200">
        <v>5</v>
      </c>
      <c r="C200">
        <v>5</v>
      </c>
      <c r="D200">
        <v>50470</v>
      </c>
      <c r="E200" t="str">
        <f t="shared" si="15"/>
        <v>Medium</v>
      </c>
      <c r="F200">
        <v>1</v>
      </c>
      <c r="G200" t="str">
        <f t="shared" si="16"/>
        <v>Yes</v>
      </c>
      <c r="H200" t="s">
        <v>27</v>
      </c>
      <c r="I200" t="s">
        <v>28</v>
      </c>
      <c r="J200" s="1">
        <v>32630</v>
      </c>
      <c r="K200" s="2">
        <f t="shared" ca="1" si="17"/>
        <v>37</v>
      </c>
      <c r="L200" t="s">
        <v>29</v>
      </c>
      <c r="M200" t="s">
        <v>30</v>
      </c>
      <c r="N200" t="s">
        <v>31</v>
      </c>
      <c r="O200" t="s">
        <v>32</v>
      </c>
      <c r="P200" t="s">
        <v>64</v>
      </c>
      <c r="Q200" s="1">
        <v>40812</v>
      </c>
      <c r="R200" s="1">
        <v>41733</v>
      </c>
      <c r="S200" s="2">
        <f t="shared" ca="1" si="18"/>
        <v>2.5232876712328767</v>
      </c>
      <c r="T200" s="2" t="str">
        <f t="shared" ca="1" si="19"/>
        <v>3-5 Years</v>
      </c>
      <c r="U200" t="s">
        <v>54</v>
      </c>
      <c r="V200" t="s">
        <v>43</v>
      </c>
      <c r="W200" t="s">
        <v>36</v>
      </c>
      <c r="X200" t="s">
        <v>55</v>
      </c>
      <c r="Y200" t="s">
        <v>66</v>
      </c>
      <c r="Z200" t="s">
        <v>47</v>
      </c>
      <c r="AA200">
        <v>4.3</v>
      </c>
      <c r="AB200">
        <v>3</v>
      </c>
      <c r="AC200">
        <v>0</v>
      </c>
      <c r="AD200" s="1">
        <v>41335</v>
      </c>
      <c r="AE200">
        <v>0</v>
      </c>
      <c r="AF200">
        <v>19</v>
      </c>
    </row>
    <row r="201" spans="1:32" x14ac:dyDescent="0.3">
      <c r="A201" t="s">
        <v>366</v>
      </c>
      <c r="B201">
        <v>5</v>
      </c>
      <c r="C201">
        <v>5</v>
      </c>
      <c r="D201">
        <v>46664</v>
      </c>
      <c r="E201" t="str">
        <f t="shared" si="15"/>
        <v>Medium</v>
      </c>
      <c r="F201">
        <v>1</v>
      </c>
      <c r="G201" t="str">
        <f t="shared" si="16"/>
        <v>Yes</v>
      </c>
      <c r="H201" t="s">
        <v>27</v>
      </c>
      <c r="I201" t="s">
        <v>28</v>
      </c>
      <c r="J201" s="1">
        <v>30403</v>
      </c>
      <c r="K201" s="2">
        <f t="shared" ca="1" si="17"/>
        <v>43</v>
      </c>
      <c r="L201" t="s">
        <v>29</v>
      </c>
      <c r="M201" t="s">
        <v>41</v>
      </c>
      <c r="N201" t="s">
        <v>31</v>
      </c>
      <c r="O201" t="s">
        <v>32</v>
      </c>
      <c r="P201" t="s">
        <v>33</v>
      </c>
      <c r="Q201" s="1">
        <v>41365</v>
      </c>
      <c r="R201" s="1">
        <v>42515</v>
      </c>
      <c r="S201" s="2">
        <f t="shared" ca="1" si="18"/>
        <v>3.1506849315068495</v>
      </c>
      <c r="T201" s="2" t="str">
        <f t="shared" ca="1" si="19"/>
        <v>3-5 Years</v>
      </c>
      <c r="U201" t="s">
        <v>115</v>
      </c>
      <c r="V201" t="s">
        <v>43</v>
      </c>
      <c r="W201" t="s">
        <v>36</v>
      </c>
      <c r="X201" t="s">
        <v>57</v>
      </c>
      <c r="Y201" t="s">
        <v>63</v>
      </c>
      <c r="Z201" t="s">
        <v>47</v>
      </c>
      <c r="AA201">
        <v>3.18</v>
      </c>
      <c r="AB201">
        <v>3</v>
      </c>
      <c r="AC201">
        <v>0</v>
      </c>
      <c r="AD201" s="1">
        <v>42435</v>
      </c>
      <c r="AE201">
        <v>0</v>
      </c>
      <c r="AF201">
        <v>10</v>
      </c>
    </row>
    <row r="202" spans="1:32" x14ac:dyDescent="0.3">
      <c r="A202" t="s">
        <v>367</v>
      </c>
      <c r="B202">
        <v>3</v>
      </c>
      <c r="C202">
        <v>5</v>
      </c>
      <c r="D202">
        <v>48495</v>
      </c>
      <c r="E202" t="str">
        <f t="shared" si="15"/>
        <v>Medium</v>
      </c>
      <c r="F202">
        <v>0</v>
      </c>
      <c r="G202" t="str">
        <f t="shared" si="16"/>
        <v>No</v>
      </c>
      <c r="H202" t="s">
        <v>27</v>
      </c>
      <c r="I202" t="s">
        <v>28</v>
      </c>
      <c r="J202" s="1">
        <v>28223</v>
      </c>
      <c r="K202" s="2">
        <f t="shared" ca="1" si="17"/>
        <v>49</v>
      </c>
      <c r="L202" t="s">
        <v>29</v>
      </c>
      <c r="M202" t="s">
        <v>41</v>
      </c>
      <c r="N202" t="s">
        <v>31</v>
      </c>
      <c r="O202" t="s">
        <v>32</v>
      </c>
      <c r="P202" t="s">
        <v>33</v>
      </c>
      <c r="Q202" s="1">
        <v>41771</v>
      </c>
      <c r="S202" s="2">
        <f t="shared" ca="1" si="18"/>
        <v>11.898630136986302</v>
      </c>
      <c r="T202" s="2" t="str">
        <f t="shared" ca="1" si="19"/>
        <v>10+ Years</v>
      </c>
      <c r="U202" t="s">
        <v>34</v>
      </c>
      <c r="V202" t="s">
        <v>35</v>
      </c>
      <c r="W202" t="s">
        <v>36</v>
      </c>
      <c r="X202" t="s">
        <v>62</v>
      </c>
      <c r="Y202" t="s">
        <v>38</v>
      </c>
      <c r="Z202" t="s">
        <v>47</v>
      </c>
      <c r="AA202">
        <v>5</v>
      </c>
      <c r="AB202">
        <v>5</v>
      </c>
      <c r="AC202">
        <v>0</v>
      </c>
      <c r="AD202" s="1">
        <v>43514</v>
      </c>
      <c r="AE202">
        <v>0</v>
      </c>
      <c r="AF202">
        <v>11</v>
      </c>
    </row>
    <row r="203" spans="1:32" x14ac:dyDescent="0.3">
      <c r="A203" t="s">
        <v>368</v>
      </c>
      <c r="B203">
        <v>1</v>
      </c>
      <c r="C203">
        <v>5</v>
      </c>
      <c r="D203">
        <v>52984</v>
      </c>
      <c r="E203" t="str">
        <f t="shared" si="15"/>
        <v>Medium</v>
      </c>
      <c r="F203">
        <v>0</v>
      </c>
      <c r="G203" t="str">
        <f t="shared" si="16"/>
        <v>No</v>
      </c>
      <c r="H203" t="s">
        <v>27</v>
      </c>
      <c r="I203" t="s">
        <v>28</v>
      </c>
      <c r="J203" s="1">
        <v>24626</v>
      </c>
      <c r="K203" s="2">
        <f t="shared" ca="1" si="17"/>
        <v>59</v>
      </c>
      <c r="L203" t="s">
        <v>49</v>
      </c>
      <c r="M203" t="s">
        <v>96</v>
      </c>
      <c r="N203" t="s">
        <v>31</v>
      </c>
      <c r="O203" t="s">
        <v>32</v>
      </c>
      <c r="P203" t="s">
        <v>64</v>
      </c>
      <c r="Q203" s="1">
        <v>41365</v>
      </c>
      <c r="S203" s="2">
        <f t="shared" ca="1" si="18"/>
        <v>13.010958904109589</v>
      </c>
      <c r="T203" s="2" t="str">
        <f t="shared" ca="1" si="19"/>
        <v>10+ Years</v>
      </c>
      <c r="U203" t="s">
        <v>34</v>
      </c>
      <c r="V203" t="s">
        <v>35</v>
      </c>
      <c r="W203" t="s">
        <v>36</v>
      </c>
      <c r="X203" t="s">
        <v>65</v>
      </c>
      <c r="Y203" t="s">
        <v>66</v>
      </c>
      <c r="Z203" t="s">
        <v>39</v>
      </c>
      <c r="AA203">
        <v>4</v>
      </c>
      <c r="AB203">
        <v>3</v>
      </c>
      <c r="AC203">
        <v>0</v>
      </c>
      <c r="AD203" s="1">
        <v>43509</v>
      </c>
      <c r="AE203">
        <v>0</v>
      </c>
      <c r="AF203">
        <v>12</v>
      </c>
    </row>
    <row r="204" spans="1:32" x14ac:dyDescent="0.3">
      <c r="A204" t="s">
        <v>369</v>
      </c>
      <c r="B204">
        <v>1</v>
      </c>
      <c r="C204">
        <v>6</v>
      </c>
      <c r="D204">
        <v>63695</v>
      </c>
      <c r="E204" t="str">
        <f t="shared" si="15"/>
        <v>High</v>
      </c>
      <c r="F204">
        <v>0</v>
      </c>
      <c r="G204" t="str">
        <f t="shared" si="16"/>
        <v>No</v>
      </c>
      <c r="H204" t="s">
        <v>97</v>
      </c>
      <c r="I204" t="s">
        <v>150</v>
      </c>
      <c r="J204" s="1">
        <v>32598</v>
      </c>
      <c r="K204" s="2">
        <f t="shared" ca="1" si="17"/>
        <v>37</v>
      </c>
      <c r="L204" t="s">
        <v>49</v>
      </c>
      <c r="M204" t="s">
        <v>30</v>
      </c>
      <c r="N204" t="s">
        <v>31</v>
      </c>
      <c r="O204" t="s">
        <v>32</v>
      </c>
      <c r="P204" t="s">
        <v>75</v>
      </c>
      <c r="Q204" s="1">
        <v>41463</v>
      </c>
      <c r="S204" s="2">
        <f t="shared" ca="1" si="18"/>
        <v>12.742465753424657</v>
      </c>
      <c r="T204" s="2" t="str">
        <f t="shared" ca="1" si="19"/>
        <v>10+ Years</v>
      </c>
      <c r="U204" t="s">
        <v>34</v>
      </c>
      <c r="V204" t="s">
        <v>35</v>
      </c>
      <c r="W204" t="s">
        <v>99</v>
      </c>
      <c r="X204" t="s">
        <v>105</v>
      </c>
      <c r="Y204" t="s">
        <v>46</v>
      </c>
      <c r="Z204" t="s">
        <v>47</v>
      </c>
      <c r="AA204">
        <v>5</v>
      </c>
      <c r="AB204">
        <v>5</v>
      </c>
      <c r="AC204">
        <v>0</v>
      </c>
      <c r="AD204" s="1">
        <v>43490</v>
      </c>
      <c r="AE204">
        <v>0</v>
      </c>
      <c r="AF204">
        <v>2</v>
      </c>
    </row>
    <row r="205" spans="1:32" x14ac:dyDescent="0.3">
      <c r="A205" t="s">
        <v>370</v>
      </c>
      <c r="B205">
        <v>1</v>
      </c>
      <c r="C205">
        <v>5</v>
      </c>
      <c r="D205">
        <v>62061</v>
      </c>
      <c r="E205" t="str">
        <f t="shared" si="15"/>
        <v>High</v>
      </c>
      <c r="F205">
        <v>0</v>
      </c>
      <c r="G205" t="str">
        <f t="shared" si="16"/>
        <v>No</v>
      </c>
      <c r="H205" t="s">
        <v>27</v>
      </c>
      <c r="I205" t="s">
        <v>28</v>
      </c>
      <c r="J205" s="1">
        <v>30870</v>
      </c>
      <c r="K205" s="2">
        <f t="shared" ca="1" si="17"/>
        <v>42</v>
      </c>
      <c r="L205" t="s">
        <v>49</v>
      </c>
      <c r="M205" t="s">
        <v>30</v>
      </c>
      <c r="N205" t="s">
        <v>31</v>
      </c>
      <c r="O205" t="s">
        <v>32</v>
      </c>
      <c r="P205" t="s">
        <v>33</v>
      </c>
      <c r="Q205" s="1">
        <v>41463</v>
      </c>
      <c r="S205" s="2">
        <f t="shared" ca="1" si="18"/>
        <v>12.742465753424657</v>
      </c>
      <c r="T205" s="2" t="str">
        <f t="shared" ca="1" si="19"/>
        <v>10+ Years</v>
      </c>
      <c r="U205" t="s">
        <v>34</v>
      </c>
      <c r="V205" t="s">
        <v>35</v>
      </c>
      <c r="W205" t="s">
        <v>36</v>
      </c>
      <c r="X205" t="s">
        <v>71</v>
      </c>
      <c r="Y205" t="s">
        <v>38</v>
      </c>
      <c r="Z205" t="s">
        <v>47</v>
      </c>
      <c r="AA205">
        <v>3.6</v>
      </c>
      <c r="AB205">
        <v>5</v>
      </c>
      <c r="AC205">
        <v>0</v>
      </c>
      <c r="AD205" s="1">
        <v>43467</v>
      </c>
      <c r="AE205">
        <v>0</v>
      </c>
      <c r="AF205">
        <v>4</v>
      </c>
    </row>
    <row r="206" spans="1:32" x14ac:dyDescent="0.3">
      <c r="A206" t="s">
        <v>371</v>
      </c>
      <c r="B206">
        <v>1</v>
      </c>
      <c r="C206">
        <v>5</v>
      </c>
      <c r="D206">
        <v>66738</v>
      </c>
      <c r="E206" t="str">
        <f t="shared" si="15"/>
        <v>High</v>
      </c>
      <c r="F206">
        <v>0</v>
      </c>
      <c r="G206" t="str">
        <f t="shared" si="16"/>
        <v>No</v>
      </c>
      <c r="H206" t="s">
        <v>48</v>
      </c>
      <c r="I206" t="s">
        <v>28</v>
      </c>
      <c r="J206" s="1">
        <v>31374</v>
      </c>
      <c r="K206" s="2">
        <f t="shared" ca="1" si="17"/>
        <v>41</v>
      </c>
      <c r="L206" t="s">
        <v>49</v>
      </c>
      <c r="M206" t="s">
        <v>30</v>
      </c>
      <c r="N206" t="s">
        <v>31</v>
      </c>
      <c r="O206" t="s">
        <v>32</v>
      </c>
      <c r="P206" t="s">
        <v>33</v>
      </c>
      <c r="Q206" s="1">
        <v>41953</v>
      </c>
      <c r="S206" s="2">
        <f t="shared" ca="1" si="18"/>
        <v>11.4</v>
      </c>
      <c r="T206" s="2" t="str">
        <f t="shared" ca="1" si="19"/>
        <v>10+ Years</v>
      </c>
      <c r="U206" t="s">
        <v>34</v>
      </c>
      <c r="V206" t="s">
        <v>35</v>
      </c>
      <c r="W206" t="s">
        <v>36</v>
      </c>
      <c r="X206" t="s">
        <v>52</v>
      </c>
      <c r="Y206" t="s">
        <v>46</v>
      </c>
      <c r="Z206" t="s">
        <v>47</v>
      </c>
      <c r="AA206">
        <v>4.53</v>
      </c>
      <c r="AB206">
        <v>5</v>
      </c>
      <c r="AC206">
        <v>0</v>
      </c>
      <c r="AD206" s="1">
        <v>43481</v>
      </c>
      <c r="AE206">
        <v>0</v>
      </c>
      <c r="AF206">
        <v>5</v>
      </c>
    </row>
    <row r="207" spans="1:32" x14ac:dyDescent="0.3">
      <c r="A207" t="s">
        <v>372</v>
      </c>
      <c r="B207">
        <v>4</v>
      </c>
      <c r="C207">
        <v>5</v>
      </c>
      <c r="D207">
        <v>52674</v>
      </c>
      <c r="E207" t="str">
        <f t="shared" si="15"/>
        <v>Medium</v>
      </c>
      <c r="F207">
        <v>1</v>
      </c>
      <c r="G207" t="str">
        <f t="shared" si="16"/>
        <v>Yes</v>
      </c>
      <c r="H207" t="s">
        <v>27</v>
      </c>
      <c r="I207" t="s">
        <v>28</v>
      </c>
      <c r="J207" s="1">
        <v>29494</v>
      </c>
      <c r="K207" s="2">
        <f t="shared" ca="1" si="17"/>
        <v>46</v>
      </c>
      <c r="L207" t="s">
        <v>49</v>
      </c>
      <c r="M207" t="s">
        <v>30</v>
      </c>
      <c r="N207" t="s">
        <v>31</v>
      </c>
      <c r="O207" t="s">
        <v>32</v>
      </c>
      <c r="P207" t="s">
        <v>75</v>
      </c>
      <c r="Q207" s="1">
        <v>41729</v>
      </c>
      <c r="R207" s="1">
        <v>43221</v>
      </c>
      <c r="S207" s="2">
        <f t="shared" ca="1" si="18"/>
        <v>4.087671232876712</v>
      </c>
      <c r="T207" s="2" t="str">
        <f t="shared" ca="1" si="19"/>
        <v>3-5 Years</v>
      </c>
      <c r="U207" t="s">
        <v>82</v>
      </c>
      <c r="V207" t="s">
        <v>79</v>
      </c>
      <c r="W207" t="s">
        <v>36</v>
      </c>
      <c r="X207" t="s">
        <v>51</v>
      </c>
      <c r="Y207" t="s">
        <v>38</v>
      </c>
      <c r="Z207" t="s">
        <v>114</v>
      </c>
      <c r="AA207">
        <v>2.33</v>
      </c>
      <c r="AB207">
        <v>2</v>
      </c>
      <c r="AC207">
        <v>0</v>
      </c>
      <c r="AD207" s="1">
        <v>43168</v>
      </c>
      <c r="AE207">
        <v>6</v>
      </c>
      <c r="AF207">
        <v>3</v>
      </c>
    </row>
    <row r="208" spans="1:32" x14ac:dyDescent="0.3">
      <c r="A208" t="s">
        <v>373</v>
      </c>
      <c r="B208">
        <v>5</v>
      </c>
      <c r="C208">
        <v>5</v>
      </c>
      <c r="D208">
        <v>71966</v>
      </c>
      <c r="E208" t="str">
        <f t="shared" si="15"/>
        <v>High</v>
      </c>
      <c r="F208">
        <v>1</v>
      </c>
      <c r="G208" t="str">
        <f t="shared" si="16"/>
        <v>Yes</v>
      </c>
      <c r="H208" t="s">
        <v>48</v>
      </c>
      <c r="I208" t="s">
        <v>28</v>
      </c>
      <c r="J208" s="1">
        <v>19035</v>
      </c>
      <c r="K208" s="2">
        <f t="shared" ca="1" si="17"/>
        <v>74</v>
      </c>
      <c r="L208" t="s">
        <v>49</v>
      </c>
      <c r="M208" t="s">
        <v>41</v>
      </c>
      <c r="N208" t="s">
        <v>31</v>
      </c>
      <c r="O208" t="s">
        <v>32</v>
      </c>
      <c r="P208" t="s">
        <v>83</v>
      </c>
      <c r="Q208" s="1">
        <v>41043</v>
      </c>
      <c r="R208" s="1">
        <v>41505</v>
      </c>
      <c r="S208" s="2">
        <f t="shared" ca="1" si="18"/>
        <v>1.2657534246575342</v>
      </c>
      <c r="T208" s="2" t="str">
        <f t="shared" ca="1" si="19"/>
        <v>0-2 Years</v>
      </c>
      <c r="U208" t="s">
        <v>72</v>
      </c>
      <c r="V208" t="s">
        <v>43</v>
      </c>
      <c r="W208" t="s">
        <v>36</v>
      </c>
      <c r="X208" t="s">
        <v>55</v>
      </c>
      <c r="Y208" t="s">
        <v>38</v>
      </c>
      <c r="Z208" t="s">
        <v>47</v>
      </c>
      <c r="AA208">
        <v>5</v>
      </c>
      <c r="AB208">
        <v>3</v>
      </c>
      <c r="AC208">
        <v>0</v>
      </c>
      <c r="AD208" s="1">
        <v>41457</v>
      </c>
      <c r="AE208">
        <v>0</v>
      </c>
      <c r="AF208">
        <v>17</v>
      </c>
    </row>
    <row r="209" spans="1:32" x14ac:dyDescent="0.3">
      <c r="A209" t="s">
        <v>374</v>
      </c>
      <c r="B209">
        <v>1</v>
      </c>
      <c r="C209">
        <v>6</v>
      </c>
      <c r="D209">
        <v>63051</v>
      </c>
      <c r="E209" t="str">
        <f t="shared" si="15"/>
        <v>High</v>
      </c>
      <c r="F209">
        <v>0</v>
      </c>
      <c r="G209" t="str">
        <f t="shared" si="16"/>
        <v>No</v>
      </c>
      <c r="H209" t="s">
        <v>97</v>
      </c>
      <c r="I209" t="s">
        <v>151</v>
      </c>
      <c r="J209" s="1">
        <v>33004</v>
      </c>
      <c r="K209" s="2">
        <f t="shared" ca="1" si="17"/>
        <v>36</v>
      </c>
      <c r="L209" t="s">
        <v>49</v>
      </c>
      <c r="M209" t="s">
        <v>30</v>
      </c>
      <c r="N209" t="s">
        <v>31</v>
      </c>
      <c r="O209" t="s">
        <v>69</v>
      </c>
      <c r="P209" t="s">
        <v>33</v>
      </c>
      <c r="Q209" s="1">
        <v>41547</v>
      </c>
      <c r="S209" s="2">
        <f t="shared" ca="1" si="18"/>
        <v>12.512328767123288</v>
      </c>
      <c r="T209" s="2" t="str">
        <f t="shared" ca="1" si="19"/>
        <v>10+ Years</v>
      </c>
      <c r="U209" t="s">
        <v>34</v>
      </c>
      <c r="V209" t="s">
        <v>35</v>
      </c>
      <c r="W209" t="s">
        <v>99</v>
      </c>
      <c r="X209" t="s">
        <v>105</v>
      </c>
      <c r="Y209" t="s">
        <v>46</v>
      </c>
      <c r="Z209" t="s">
        <v>47</v>
      </c>
      <c r="AA209">
        <v>4.28</v>
      </c>
      <c r="AB209">
        <v>3</v>
      </c>
      <c r="AC209">
        <v>0</v>
      </c>
      <c r="AD209" s="1">
        <v>43490</v>
      </c>
      <c r="AE209">
        <v>0</v>
      </c>
      <c r="AF209">
        <v>1</v>
      </c>
    </row>
    <row r="210" spans="1:32" x14ac:dyDescent="0.3">
      <c r="A210" t="s">
        <v>375</v>
      </c>
      <c r="B210">
        <v>1</v>
      </c>
      <c r="C210">
        <v>5</v>
      </c>
      <c r="D210">
        <v>47414</v>
      </c>
      <c r="E210" t="str">
        <f t="shared" si="15"/>
        <v>Medium</v>
      </c>
      <c r="F210">
        <v>0</v>
      </c>
      <c r="G210" t="str">
        <f t="shared" si="16"/>
        <v>No</v>
      </c>
      <c r="H210" t="s">
        <v>27</v>
      </c>
      <c r="I210" t="s">
        <v>28</v>
      </c>
      <c r="J210" s="1">
        <v>28105</v>
      </c>
      <c r="K210" s="2">
        <f t="shared" ca="1" si="17"/>
        <v>50</v>
      </c>
      <c r="L210" t="s">
        <v>29</v>
      </c>
      <c r="M210" t="s">
        <v>41</v>
      </c>
      <c r="N210" t="s">
        <v>31</v>
      </c>
      <c r="O210" t="s">
        <v>32</v>
      </c>
      <c r="P210" t="s">
        <v>33</v>
      </c>
      <c r="Q210" s="1">
        <v>41547</v>
      </c>
      <c r="S210" s="2">
        <f t="shared" ca="1" si="18"/>
        <v>12.512328767123288</v>
      </c>
      <c r="T210" s="2" t="str">
        <f t="shared" ca="1" si="19"/>
        <v>10+ Years</v>
      </c>
      <c r="U210" t="s">
        <v>34</v>
      </c>
      <c r="V210" t="s">
        <v>35</v>
      </c>
      <c r="W210" t="s">
        <v>36</v>
      </c>
      <c r="X210" t="s">
        <v>76</v>
      </c>
      <c r="Y210" t="s">
        <v>38</v>
      </c>
      <c r="Z210" t="s">
        <v>39</v>
      </c>
      <c r="AA210">
        <v>5</v>
      </c>
      <c r="AB210">
        <v>3</v>
      </c>
      <c r="AC210">
        <v>0</v>
      </c>
      <c r="AD210" s="1">
        <v>43503</v>
      </c>
      <c r="AE210">
        <v>0</v>
      </c>
      <c r="AF210">
        <v>13</v>
      </c>
    </row>
    <row r="211" spans="1:32" x14ac:dyDescent="0.3">
      <c r="A211" t="s">
        <v>376</v>
      </c>
      <c r="B211">
        <v>1</v>
      </c>
      <c r="C211">
        <v>5</v>
      </c>
      <c r="D211">
        <v>53060</v>
      </c>
      <c r="E211" t="str">
        <f t="shared" si="15"/>
        <v>Medium</v>
      </c>
      <c r="F211">
        <v>0</v>
      </c>
      <c r="G211" t="str">
        <f t="shared" si="16"/>
        <v>No</v>
      </c>
      <c r="H211" t="s">
        <v>27</v>
      </c>
      <c r="I211" t="s">
        <v>28</v>
      </c>
      <c r="J211" s="1">
        <v>29183</v>
      </c>
      <c r="K211" s="2">
        <f t="shared" ca="1" si="17"/>
        <v>47</v>
      </c>
      <c r="L211" t="s">
        <v>29</v>
      </c>
      <c r="M211" t="s">
        <v>30</v>
      </c>
      <c r="N211" t="s">
        <v>31</v>
      </c>
      <c r="O211" t="s">
        <v>32</v>
      </c>
      <c r="P211" t="s">
        <v>64</v>
      </c>
      <c r="Q211" s="1">
        <v>41687</v>
      </c>
      <c r="S211" s="2">
        <f t="shared" ca="1" si="18"/>
        <v>12.128767123287671</v>
      </c>
      <c r="T211" s="2" t="str">
        <f t="shared" ca="1" si="19"/>
        <v>10+ Years</v>
      </c>
      <c r="U211" t="s">
        <v>34</v>
      </c>
      <c r="V211" t="s">
        <v>35</v>
      </c>
      <c r="W211" t="s">
        <v>36</v>
      </c>
      <c r="X211" t="s">
        <v>37</v>
      </c>
      <c r="Y211" t="s">
        <v>38</v>
      </c>
      <c r="Z211" t="s">
        <v>85</v>
      </c>
      <c r="AA211">
        <v>4.25</v>
      </c>
      <c r="AB211">
        <v>3</v>
      </c>
      <c r="AC211">
        <v>0</v>
      </c>
      <c r="AD211" s="1">
        <v>43500</v>
      </c>
      <c r="AE211">
        <v>4</v>
      </c>
      <c r="AF211">
        <v>6</v>
      </c>
    </row>
    <row r="212" spans="1:32" x14ac:dyDescent="0.3">
      <c r="A212" t="s">
        <v>377</v>
      </c>
      <c r="B212">
        <v>1</v>
      </c>
      <c r="C212">
        <v>6</v>
      </c>
      <c r="D212">
        <v>68829</v>
      </c>
      <c r="E212" t="str">
        <f t="shared" si="15"/>
        <v>High</v>
      </c>
      <c r="F212">
        <v>0</v>
      </c>
      <c r="G212" t="str">
        <f t="shared" si="16"/>
        <v>No</v>
      </c>
      <c r="H212" t="s">
        <v>97</v>
      </c>
      <c r="I212" t="s">
        <v>152</v>
      </c>
      <c r="J212" s="1">
        <v>30090</v>
      </c>
      <c r="K212" s="2">
        <f t="shared" ca="1" si="17"/>
        <v>44</v>
      </c>
      <c r="L212" t="s">
        <v>29</v>
      </c>
      <c r="M212" t="s">
        <v>30</v>
      </c>
      <c r="N212" t="s">
        <v>31</v>
      </c>
      <c r="O212" t="s">
        <v>32</v>
      </c>
      <c r="P212" t="s">
        <v>33</v>
      </c>
      <c r="Q212" s="1">
        <v>42009</v>
      </c>
      <c r="S212" s="2">
        <f t="shared" ca="1" si="18"/>
        <v>11.246575342465754</v>
      </c>
      <c r="T212" s="2" t="str">
        <f t="shared" ca="1" si="19"/>
        <v>10+ Years</v>
      </c>
      <c r="U212" t="s">
        <v>34</v>
      </c>
      <c r="V212" t="s">
        <v>35</v>
      </c>
      <c r="W212" t="s">
        <v>99</v>
      </c>
      <c r="X212" t="s">
        <v>100</v>
      </c>
      <c r="Y212" t="s">
        <v>119</v>
      </c>
      <c r="Z212" t="s">
        <v>47</v>
      </c>
      <c r="AA212">
        <v>5</v>
      </c>
      <c r="AB212">
        <v>5</v>
      </c>
      <c r="AC212">
        <v>0</v>
      </c>
      <c r="AD212" s="1">
        <v>43479</v>
      </c>
      <c r="AE212">
        <v>0</v>
      </c>
      <c r="AF212">
        <v>18</v>
      </c>
    </row>
    <row r="213" spans="1:32" x14ac:dyDescent="0.3">
      <c r="A213" t="s">
        <v>378</v>
      </c>
      <c r="B213">
        <v>5</v>
      </c>
      <c r="C213">
        <v>5</v>
      </c>
      <c r="D213">
        <v>63515</v>
      </c>
      <c r="E213" t="str">
        <f t="shared" si="15"/>
        <v>High</v>
      </c>
      <c r="F213">
        <v>1</v>
      </c>
      <c r="G213" t="str">
        <f t="shared" si="16"/>
        <v>Yes</v>
      </c>
      <c r="H213" t="s">
        <v>27</v>
      </c>
      <c r="I213" t="s">
        <v>28</v>
      </c>
      <c r="J213" s="1">
        <v>28976</v>
      </c>
      <c r="K213" s="2">
        <f t="shared" ca="1" si="17"/>
        <v>47</v>
      </c>
      <c r="L213" t="s">
        <v>49</v>
      </c>
      <c r="M213" t="s">
        <v>41</v>
      </c>
      <c r="N213" t="s">
        <v>31</v>
      </c>
      <c r="O213" t="s">
        <v>32</v>
      </c>
      <c r="P213" t="s">
        <v>33</v>
      </c>
      <c r="Q213" s="1">
        <v>40581</v>
      </c>
      <c r="R213" s="1">
        <v>41651</v>
      </c>
      <c r="S213" s="2">
        <f t="shared" ca="1" si="18"/>
        <v>2.9315068493150687</v>
      </c>
      <c r="T213" s="2" t="str">
        <f t="shared" ca="1" si="19"/>
        <v>3-5 Years</v>
      </c>
      <c r="U213" t="s">
        <v>70</v>
      </c>
      <c r="V213" t="s">
        <v>43</v>
      </c>
      <c r="W213" t="s">
        <v>36</v>
      </c>
      <c r="X213" t="s">
        <v>52</v>
      </c>
      <c r="Y213" t="s">
        <v>56</v>
      </c>
      <c r="Z213" t="s">
        <v>47</v>
      </c>
      <c r="AA213">
        <v>3.89</v>
      </c>
      <c r="AB213">
        <v>4</v>
      </c>
      <c r="AC213">
        <v>0</v>
      </c>
      <c r="AD213" s="1">
        <v>41337</v>
      </c>
      <c r="AE213">
        <v>0</v>
      </c>
      <c r="AF213">
        <v>7</v>
      </c>
    </row>
    <row r="214" spans="1:32" x14ac:dyDescent="0.3">
      <c r="A214" t="s">
        <v>379</v>
      </c>
      <c r="B214">
        <v>5</v>
      </c>
      <c r="C214">
        <v>4</v>
      </c>
      <c r="D214">
        <v>108987</v>
      </c>
      <c r="E214" t="str">
        <f t="shared" si="15"/>
        <v>High</v>
      </c>
      <c r="F214">
        <v>1</v>
      </c>
      <c r="G214" t="str">
        <f t="shared" si="16"/>
        <v>Yes</v>
      </c>
      <c r="H214" t="s">
        <v>58</v>
      </c>
      <c r="I214" t="s">
        <v>28</v>
      </c>
      <c r="J214" s="1">
        <v>28906</v>
      </c>
      <c r="K214" s="2">
        <f t="shared" ca="1" si="17"/>
        <v>47</v>
      </c>
      <c r="L214" t="s">
        <v>29</v>
      </c>
      <c r="M214" t="s">
        <v>30</v>
      </c>
      <c r="N214" t="s">
        <v>31</v>
      </c>
      <c r="O214" t="s">
        <v>32</v>
      </c>
      <c r="P214" t="s">
        <v>64</v>
      </c>
      <c r="Q214" s="1">
        <v>40854</v>
      </c>
      <c r="R214" s="1">
        <v>42254</v>
      </c>
      <c r="S214" s="2">
        <f t="shared" ca="1" si="18"/>
        <v>3.8356164383561642</v>
      </c>
      <c r="T214" s="2" t="str">
        <f t="shared" ca="1" si="19"/>
        <v>3-5 Years</v>
      </c>
      <c r="U214" t="s">
        <v>70</v>
      </c>
      <c r="V214" t="s">
        <v>43</v>
      </c>
      <c r="W214" t="s">
        <v>59</v>
      </c>
      <c r="X214" t="s">
        <v>60</v>
      </c>
      <c r="Y214" t="s">
        <v>66</v>
      </c>
      <c r="Z214" t="s">
        <v>39</v>
      </c>
      <c r="AA214">
        <v>5</v>
      </c>
      <c r="AB214">
        <v>5</v>
      </c>
      <c r="AC214">
        <v>3</v>
      </c>
      <c r="AD214" s="1">
        <v>42232</v>
      </c>
      <c r="AE214">
        <v>0</v>
      </c>
      <c r="AF214">
        <v>13</v>
      </c>
    </row>
    <row r="215" spans="1:32" x14ac:dyDescent="0.3">
      <c r="A215" t="s">
        <v>380</v>
      </c>
      <c r="B215">
        <v>5</v>
      </c>
      <c r="C215">
        <v>3</v>
      </c>
      <c r="D215">
        <v>93093</v>
      </c>
      <c r="E215" t="str">
        <f t="shared" si="15"/>
        <v>High</v>
      </c>
      <c r="F215">
        <v>1</v>
      </c>
      <c r="G215" t="str">
        <f t="shared" si="16"/>
        <v>Yes</v>
      </c>
      <c r="H215" t="s">
        <v>73</v>
      </c>
      <c r="I215" t="s">
        <v>28</v>
      </c>
      <c r="J215" s="1">
        <v>30930</v>
      </c>
      <c r="K215" s="2">
        <f t="shared" ca="1" si="17"/>
        <v>42</v>
      </c>
      <c r="L215" t="s">
        <v>29</v>
      </c>
      <c r="M215" t="s">
        <v>41</v>
      </c>
      <c r="N215" t="s">
        <v>31</v>
      </c>
      <c r="O215" t="s">
        <v>32</v>
      </c>
      <c r="P215" t="s">
        <v>33</v>
      </c>
      <c r="Q215" s="1">
        <v>41974</v>
      </c>
      <c r="R215" s="1">
        <v>42491</v>
      </c>
      <c r="S215" s="2">
        <f t="shared" ca="1" si="18"/>
        <v>1.4164383561643836</v>
      </c>
      <c r="T215" s="2" t="str">
        <f t="shared" ca="1" si="19"/>
        <v>0-2 Years</v>
      </c>
      <c r="U215" t="s">
        <v>82</v>
      </c>
      <c r="V215" t="s">
        <v>43</v>
      </c>
      <c r="W215" t="s">
        <v>44</v>
      </c>
      <c r="X215" t="s">
        <v>45</v>
      </c>
      <c r="Y215" t="s">
        <v>63</v>
      </c>
      <c r="Z215" t="s">
        <v>47</v>
      </c>
      <c r="AA215">
        <v>4.7</v>
      </c>
      <c r="AB215">
        <v>4</v>
      </c>
      <c r="AC215">
        <v>5</v>
      </c>
      <c r="AD215" s="1">
        <v>42385</v>
      </c>
      <c r="AE215">
        <v>0</v>
      </c>
      <c r="AF215">
        <v>19</v>
      </c>
    </row>
    <row r="216" spans="1:32" x14ac:dyDescent="0.3">
      <c r="A216" t="s">
        <v>381</v>
      </c>
      <c r="B216">
        <v>5</v>
      </c>
      <c r="C216">
        <v>5</v>
      </c>
      <c r="D216">
        <v>53564</v>
      </c>
      <c r="E216" t="str">
        <f t="shared" si="15"/>
        <v>Medium</v>
      </c>
      <c r="F216">
        <v>1</v>
      </c>
      <c r="G216" t="str">
        <f t="shared" si="16"/>
        <v>Yes</v>
      </c>
      <c r="H216" t="s">
        <v>27</v>
      </c>
      <c r="I216" t="s">
        <v>28</v>
      </c>
      <c r="J216" s="1">
        <v>32219</v>
      </c>
      <c r="K216" s="2">
        <f t="shared" ca="1" si="17"/>
        <v>38</v>
      </c>
      <c r="L216" t="s">
        <v>29</v>
      </c>
      <c r="M216" t="s">
        <v>30</v>
      </c>
      <c r="N216" t="s">
        <v>31</v>
      </c>
      <c r="O216" t="s">
        <v>32</v>
      </c>
      <c r="P216" t="s">
        <v>64</v>
      </c>
      <c r="Q216" s="1">
        <v>40553</v>
      </c>
      <c r="R216" s="1">
        <v>43097</v>
      </c>
      <c r="S216" s="2">
        <f t="shared" ca="1" si="18"/>
        <v>6.9698630136986299</v>
      </c>
      <c r="T216" s="2" t="str">
        <f t="shared" ca="1" si="19"/>
        <v>6-10 Years</v>
      </c>
      <c r="U216" t="s">
        <v>42</v>
      </c>
      <c r="V216" t="s">
        <v>43</v>
      </c>
      <c r="W216" t="s">
        <v>36</v>
      </c>
      <c r="X216" t="s">
        <v>55</v>
      </c>
      <c r="Y216" t="s">
        <v>56</v>
      </c>
      <c r="Z216" t="s">
        <v>85</v>
      </c>
      <c r="AA216">
        <v>3.54</v>
      </c>
      <c r="AB216">
        <v>5</v>
      </c>
      <c r="AC216">
        <v>0</v>
      </c>
      <c r="AD216" s="1">
        <v>42831</v>
      </c>
      <c r="AE216">
        <v>4</v>
      </c>
      <c r="AF216">
        <v>15</v>
      </c>
    </row>
    <row r="217" spans="1:32" x14ac:dyDescent="0.3">
      <c r="A217" t="s">
        <v>382</v>
      </c>
      <c r="B217">
        <v>5</v>
      </c>
      <c r="C217">
        <v>5</v>
      </c>
      <c r="D217">
        <v>60270</v>
      </c>
      <c r="E217" t="str">
        <f t="shared" si="15"/>
        <v>High</v>
      </c>
      <c r="F217">
        <v>1</v>
      </c>
      <c r="G217" t="str">
        <f t="shared" si="16"/>
        <v>Yes</v>
      </c>
      <c r="H217" t="s">
        <v>48</v>
      </c>
      <c r="I217" t="s">
        <v>28</v>
      </c>
      <c r="J217" s="1">
        <v>32707</v>
      </c>
      <c r="K217" s="2">
        <f t="shared" ca="1" si="17"/>
        <v>37</v>
      </c>
      <c r="L217" t="s">
        <v>49</v>
      </c>
      <c r="M217" t="s">
        <v>41</v>
      </c>
      <c r="N217" t="s">
        <v>31</v>
      </c>
      <c r="O217" t="s">
        <v>32</v>
      </c>
      <c r="P217" t="s">
        <v>83</v>
      </c>
      <c r="Q217" s="1">
        <v>40729</v>
      </c>
      <c r="R217" s="1">
        <v>42262</v>
      </c>
      <c r="S217" s="2">
        <f t="shared" ca="1" si="18"/>
        <v>4.2</v>
      </c>
      <c r="T217" s="2" t="str">
        <f t="shared" ca="1" si="19"/>
        <v>3-5 Years</v>
      </c>
      <c r="U217" t="s">
        <v>72</v>
      </c>
      <c r="V217" t="s">
        <v>43</v>
      </c>
      <c r="W217" t="s">
        <v>36</v>
      </c>
      <c r="X217" t="s">
        <v>57</v>
      </c>
      <c r="Y217" t="s">
        <v>84</v>
      </c>
      <c r="Z217" t="s">
        <v>85</v>
      </c>
      <c r="AA217">
        <v>2.4</v>
      </c>
      <c r="AB217">
        <v>5</v>
      </c>
      <c r="AC217">
        <v>0</v>
      </c>
      <c r="AD217" s="1">
        <v>42041</v>
      </c>
      <c r="AE217">
        <v>5</v>
      </c>
      <c r="AF217">
        <v>2</v>
      </c>
    </row>
    <row r="218" spans="1:32" x14ac:dyDescent="0.3">
      <c r="A218" t="s">
        <v>383</v>
      </c>
      <c r="B218">
        <v>5</v>
      </c>
      <c r="C218">
        <v>5</v>
      </c>
      <c r="D218">
        <v>45998</v>
      </c>
      <c r="E218" t="str">
        <f t="shared" si="15"/>
        <v>Medium</v>
      </c>
      <c r="F218">
        <v>1</v>
      </c>
      <c r="G218" t="str">
        <f t="shared" si="16"/>
        <v>Yes</v>
      </c>
      <c r="H218" t="s">
        <v>27</v>
      </c>
      <c r="I218" t="s">
        <v>28</v>
      </c>
      <c r="J218" s="1">
        <v>31613</v>
      </c>
      <c r="K218" s="2">
        <f t="shared" ca="1" si="17"/>
        <v>40</v>
      </c>
      <c r="L218" t="s">
        <v>49</v>
      </c>
      <c r="M218" t="s">
        <v>30</v>
      </c>
      <c r="N218" t="s">
        <v>31</v>
      </c>
      <c r="O218" t="s">
        <v>32</v>
      </c>
      <c r="P218" t="s">
        <v>33</v>
      </c>
      <c r="Q218" s="1">
        <v>40679</v>
      </c>
      <c r="R218" s="1">
        <v>42302</v>
      </c>
      <c r="S218" s="2">
        <f t="shared" ca="1" si="18"/>
        <v>4.4465753424657537</v>
      </c>
      <c r="T218" s="2" t="str">
        <f t="shared" ca="1" si="19"/>
        <v>3-5 Years</v>
      </c>
      <c r="U218" t="s">
        <v>153</v>
      </c>
      <c r="V218" t="s">
        <v>43</v>
      </c>
      <c r="W218" t="s">
        <v>36</v>
      </c>
      <c r="X218" t="s">
        <v>57</v>
      </c>
      <c r="Y218" t="s">
        <v>38</v>
      </c>
      <c r="Z218" t="s">
        <v>47</v>
      </c>
      <c r="AA218">
        <v>3.45</v>
      </c>
      <c r="AB218">
        <v>4</v>
      </c>
      <c r="AC218">
        <v>0</v>
      </c>
      <c r="AD218" s="1">
        <v>41772</v>
      </c>
      <c r="AE218">
        <v>0</v>
      </c>
      <c r="AF218">
        <v>5</v>
      </c>
    </row>
    <row r="219" spans="1:32" x14ac:dyDescent="0.3">
      <c r="A219" t="s">
        <v>384</v>
      </c>
      <c r="B219">
        <v>5</v>
      </c>
      <c r="C219">
        <v>5</v>
      </c>
      <c r="D219">
        <v>57954</v>
      </c>
      <c r="E219" t="str">
        <f t="shared" si="15"/>
        <v>Medium</v>
      </c>
      <c r="F219">
        <v>1</v>
      </c>
      <c r="G219" t="str">
        <f t="shared" si="16"/>
        <v>Yes</v>
      </c>
      <c r="H219" t="s">
        <v>48</v>
      </c>
      <c r="I219" t="s">
        <v>28</v>
      </c>
      <c r="J219" s="1">
        <v>31641</v>
      </c>
      <c r="K219" s="2">
        <f t="shared" ca="1" si="17"/>
        <v>40</v>
      </c>
      <c r="L219" t="s">
        <v>49</v>
      </c>
      <c r="M219" t="s">
        <v>41</v>
      </c>
      <c r="N219" t="s">
        <v>31</v>
      </c>
      <c r="O219" t="s">
        <v>32</v>
      </c>
      <c r="P219" t="s">
        <v>33</v>
      </c>
      <c r="Q219" s="1">
        <v>40679</v>
      </c>
      <c r="R219" s="1">
        <v>41309</v>
      </c>
      <c r="S219" s="2">
        <f t="shared" ca="1" si="18"/>
        <v>1.726027397260274</v>
      </c>
      <c r="T219" s="2" t="str">
        <f t="shared" ca="1" si="19"/>
        <v>0-2 Years</v>
      </c>
      <c r="U219" t="s">
        <v>115</v>
      </c>
      <c r="V219" t="s">
        <v>43</v>
      </c>
      <c r="W219" t="s">
        <v>36</v>
      </c>
      <c r="X219" t="s">
        <v>62</v>
      </c>
      <c r="Y219" t="s">
        <v>46</v>
      </c>
      <c r="Z219" t="s">
        <v>39</v>
      </c>
      <c r="AA219">
        <v>4.2</v>
      </c>
      <c r="AB219">
        <v>5</v>
      </c>
      <c r="AC219">
        <v>0</v>
      </c>
      <c r="AD219" s="1">
        <v>41284</v>
      </c>
      <c r="AE219">
        <v>0</v>
      </c>
      <c r="AF219">
        <v>12</v>
      </c>
    </row>
    <row r="220" spans="1:32" x14ac:dyDescent="0.3">
      <c r="A220" t="s">
        <v>385</v>
      </c>
      <c r="B220">
        <v>5</v>
      </c>
      <c r="C220">
        <v>5</v>
      </c>
      <c r="D220">
        <v>74669</v>
      </c>
      <c r="E220" t="str">
        <f t="shared" si="15"/>
        <v>High</v>
      </c>
      <c r="F220">
        <v>1</v>
      </c>
      <c r="G220" t="str">
        <f t="shared" si="16"/>
        <v>Yes</v>
      </c>
      <c r="H220" t="s">
        <v>92</v>
      </c>
      <c r="I220" t="s">
        <v>28</v>
      </c>
      <c r="J220" s="1">
        <v>28254</v>
      </c>
      <c r="K220" s="2">
        <f t="shared" ca="1" si="17"/>
        <v>49</v>
      </c>
      <c r="L220" t="s">
        <v>49</v>
      </c>
      <c r="M220" t="s">
        <v>41</v>
      </c>
      <c r="N220" t="s">
        <v>31</v>
      </c>
      <c r="O220" t="s">
        <v>32</v>
      </c>
      <c r="P220" t="s">
        <v>33</v>
      </c>
      <c r="Q220" s="1">
        <v>40476</v>
      </c>
      <c r="R220" s="1">
        <v>42508</v>
      </c>
      <c r="S220" s="2">
        <f t="shared" ca="1" si="18"/>
        <v>5.5671232876712331</v>
      </c>
      <c r="T220" s="2" t="str">
        <f t="shared" ca="1" si="19"/>
        <v>6-10 Years</v>
      </c>
      <c r="U220" t="s">
        <v>70</v>
      </c>
      <c r="V220" t="s">
        <v>43</v>
      </c>
      <c r="W220" t="s">
        <v>36</v>
      </c>
      <c r="X220" t="s">
        <v>94</v>
      </c>
      <c r="Y220" t="s">
        <v>46</v>
      </c>
      <c r="Z220" t="s">
        <v>47</v>
      </c>
      <c r="AA220">
        <v>4.16</v>
      </c>
      <c r="AB220">
        <v>5</v>
      </c>
      <c r="AC220">
        <v>0</v>
      </c>
      <c r="AD220" s="1">
        <v>42068</v>
      </c>
      <c r="AE220">
        <v>0</v>
      </c>
      <c r="AF220">
        <v>6</v>
      </c>
    </row>
    <row r="221" spans="1:32" x14ac:dyDescent="0.3">
      <c r="A221" t="s">
        <v>386</v>
      </c>
      <c r="B221">
        <v>1</v>
      </c>
      <c r="C221">
        <v>5</v>
      </c>
      <c r="D221">
        <v>74226</v>
      </c>
      <c r="E221" t="str">
        <f t="shared" si="15"/>
        <v>High</v>
      </c>
      <c r="F221">
        <v>0</v>
      </c>
      <c r="G221" t="str">
        <f t="shared" si="16"/>
        <v>No</v>
      </c>
      <c r="H221" t="s">
        <v>48</v>
      </c>
      <c r="I221" t="s">
        <v>28</v>
      </c>
      <c r="J221" s="1">
        <v>28924</v>
      </c>
      <c r="K221" s="2">
        <f t="shared" ca="1" si="17"/>
        <v>47</v>
      </c>
      <c r="L221" t="s">
        <v>49</v>
      </c>
      <c r="M221" t="s">
        <v>41</v>
      </c>
      <c r="N221" t="s">
        <v>80</v>
      </c>
      <c r="O221" t="s">
        <v>32</v>
      </c>
      <c r="P221" t="s">
        <v>83</v>
      </c>
      <c r="Q221" s="1">
        <v>41001</v>
      </c>
      <c r="S221" s="2">
        <f t="shared" ca="1" si="18"/>
        <v>14.008219178082191</v>
      </c>
      <c r="T221" s="2" t="str">
        <f t="shared" ca="1" si="19"/>
        <v>10+ Years</v>
      </c>
      <c r="U221" t="s">
        <v>34</v>
      </c>
      <c r="V221" t="s">
        <v>35</v>
      </c>
      <c r="W221" t="s">
        <v>36</v>
      </c>
      <c r="X221" t="s">
        <v>65</v>
      </c>
      <c r="Y221" t="s">
        <v>38</v>
      </c>
      <c r="Z221" t="s">
        <v>47</v>
      </c>
      <c r="AA221">
        <v>4.3</v>
      </c>
      <c r="AB221">
        <v>3</v>
      </c>
      <c r="AC221">
        <v>0</v>
      </c>
      <c r="AD221" s="1">
        <v>43479</v>
      </c>
      <c r="AE221">
        <v>0</v>
      </c>
      <c r="AF221">
        <v>14</v>
      </c>
    </row>
    <row r="222" spans="1:32" x14ac:dyDescent="0.3">
      <c r="A222" t="s">
        <v>387</v>
      </c>
      <c r="B222">
        <v>1</v>
      </c>
      <c r="C222">
        <v>3</v>
      </c>
      <c r="D222">
        <v>93554</v>
      </c>
      <c r="E222" t="str">
        <f t="shared" si="15"/>
        <v>High</v>
      </c>
      <c r="F222">
        <v>0</v>
      </c>
      <c r="G222" t="str">
        <f t="shared" si="16"/>
        <v>No</v>
      </c>
      <c r="H222" t="s">
        <v>73</v>
      </c>
      <c r="I222" t="s">
        <v>28</v>
      </c>
      <c r="J222" s="1">
        <v>30941</v>
      </c>
      <c r="K222" s="2">
        <f t="shared" ca="1" si="17"/>
        <v>42</v>
      </c>
      <c r="L222" t="s">
        <v>49</v>
      </c>
      <c r="M222" t="s">
        <v>41</v>
      </c>
      <c r="N222" t="s">
        <v>31</v>
      </c>
      <c r="O222" t="s">
        <v>32</v>
      </c>
      <c r="P222" t="s">
        <v>64</v>
      </c>
      <c r="Q222" s="1">
        <v>41953</v>
      </c>
      <c r="S222" s="2">
        <f t="shared" ca="1" si="18"/>
        <v>11.4</v>
      </c>
      <c r="T222" s="2" t="str">
        <f t="shared" ca="1" si="19"/>
        <v>10+ Years</v>
      </c>
      <c r="U222" t="s">
        <v>34</v>
      </c>
      <c r="V222" t="s">
        <v>35</v>
      </c>
      <c r="W222" t="s">
        <v>44</v>
      </c>
      <c r="X222" t="s">
        <v>45</v>
      </c>
      <c r="Y222" t="s">
        <v>63</v>
      </c>
      <c r="Z222" t="s">
        <v>39</v>
      </c>
      <c r="AA222">
        <v>4.5999999999999996</v>
      </c>
      <c r="AB222">
        <v>5</v>
      </c>
      <c r="AC222">
        <v>7</v>
      </c>
      <c r="AD222" s="1">
        <v>43469</v>
      </c>
      <c r="AE222">
        <v>0</v>
      </c>
      <c r="AF222">
        <v>16</v>
      </c>
    </row>
    <row r="223" spans="1:32" x14ac:dyDescent="0.3">
      <c r="A223" t="s">
        <v>388</v>
      </c>
      <c r="B223">
        <v>5</v>
      </c>
      <c r="C223">
        <v>5</v>
      </c>
      <c r="D223">
        <v>64724</v>
      </c>
      <c r="E223" t="str">
        <f t="shared" si="15"/>
        <v>High</v>
      </c>
      <c r="F223">
        <v>1</v>
      </c>
      <c r="G223" t="str">
        <f t="shared" si="16"/>
        <v>Yes</v>
      </c>
      <c r="H223" t="s">
        <v>27</v>
      </c>
      <c r="I223" t="s">
        <v>28</v>
      </c>
      <c r="J223" s="1">
        <v>32208</v>
      </c>
      <c r="K223" s="2">
        <f t="shared" ca="1" si="17"/>
        <v>38</v>
      </c>
      <c r="L223" t="s">
        <v>29</v>
      </c>
      <c r="M223" t="s">
        <v>41</v>
      </c>
      <c r="N223" t="s">
        <v>31</v>
      </c>
      <c r="O223" t="s">
        <v>32</v>
      </c>
      <c r="P223" t="s">
        <v>83</v>
      </c>
      <c r="Q223" s="1">
        <v>40729</v>
      </c>
      <c r="R223" s="1">
        <v>41243</v>
      </c>
      <c r="S223" s="2">
        <f t="shared" ca="1" si="18"/>
        <v>1.4082191780821918</v>
      </c>
      <c r="T223" s="2" t="str">
        <f t="shared" ca="1" si="19"/>
        <v>0-2 Years</v>
      </c>
      <c r="U223" t="s">
        <v>115</v>
      </c>
      <c r="V223" t="s">
        <v>43</v>
      </c>
      <c r="W223" t="s">
        <v>36</v>
      </c>
      <c r="X223" t="s">
        <v>65</v>
      </c>
      <c r="Y223" t="s">
        <v>56</v>
      </c>
      <c r="Z223" t="s">
        <v>47</v>
      </c>
      <c r="AA223">
        <v>5</v>
      </c>
      <c r="AB223">
        <v>3</v>
      </c>
      <c r="AC223">
        <v>0</v>
      </c>
      <c r="AD223" s="1">
        <v>40959</v>
      </c>
      <c r="AE223">
        <v>0</v>
      </c>
      <c r="AF223">
        <v>13</v>
      </c>
    </row>
    <row r="224" spans="1:32" x14ac:dyDescent="0.3">
      <c r="A224" t="s">
        <v>389</v>
      </c>
      <c r="B224">
        <v>1</v>
      </c>
      <c r="C224">
        <v>5</v>
      </c>
      <c r="D224">
        <v>47001</v>
      </c>
      <c r="E224" t="str">
        <f t="shared" si="15"/>
        <v>Medium</v>
      </c>
      <c r="F224">
        <v>0</v>
      </c>
      <c r="G224" t="str">
        <f t="shared" si="16"/>
        <v>No</v>
      </c>
      <c r="H224" t="s">
        <v>27</v>
      </c>
      <c r="I224" t="s">
        <v>28</v>
      </c>
      <c r="J224" s="1">
        <v>29913</v>
      </c>
      <c r="K224" s="2">
        <f t="shared" ca="1" si="17"/>
        <v>45</v>
      </c>
      <c r="L224" t="s">
        <v>29</v>
      </c>
      <c r="M224" t="s">
        <v>30</v>
      </c>
      <c r="N224" t="s">
        <v>31</v>
      </c>
      <c r="O224" t="s">
        <v>32</v>
      </c>
      <c r="P224" t="s">
        <v>33</v>
      </c>
      <c r="Q224" s="1">
        <v>39391</v>
      </c>
      <c r="S224" s="2">
        <f t="shared" ca="1" si="18"/>
        <v>18.419178082191781</v>
      </c>
      <c r="T224" s="2" t="str">
        <f t="shared" ca="1" si="19"/>
        <v>10+ Years</v>
      </c>
      <c r="U224" t="s">
        <v>34</v>
      </c>
      <c r="V224" t="s">
        <v>35</v>
      </c>
      <c r="W224" t="s">
        <v>36</v>
      </c>
      <c r="X224" t="s">
        <v>71</v>
      </c>
      <c r="Y224" t="s">
        <v>56</v>
      </c>
      <c r="Z224" t="s">
        <v>47</v>
      </c>
      <c r="AA224">
        <v>3.66</v>
      </c>
      <c r="AB224">
        <v>3</v>
      </c>
      <c r="AC224">
        <v>0</v>
      </c>
      <c r="AD224" s="1">
        <v>43521</v>
      </c>
      <c r="AE224">
        <v>0</v>
      </c>
      <c r="AF224">
        <v>15</v>
      </c>
    </row>
    <row r="225" spans="1:32" x14ac:dyDescent="0.3">
      <c r="A225" t="s">
        <v>390</v>
      </c>
      <c r="B225">
        <v>1</v>
      </c>
      <c r="C225">
        <v>6</v>
      </c>
      <c r="D225">
        <v>61844</v>
      </c>
      <c r="E225" t="str">
        <f t="shared" si="15"/>
        <v>High</v>
      </c>
      <c r="F225">
        <v>0</v>
      </c>
      <c r="G225" t="str">
        <f t="shared" si="16"/>
        <v>No</v>
      </c>
      <c r="H225" t="s">
        <v>97</v>
      </c>
      <c r="I225" t="s">
        <v>154</v>
      </c>
      <c r="J225" s="1">
        <v>32384</v>
      </c>
      <c r="K225" s="2">
        <f t="shared" ca="1" si="17"/>
        <v>38</v>
      </c>
      <c r="L225" t="s">
        <v>49</v>
      </c>
      <c r="M225" t="s">
        <v>41</v>
      </c>
      <c r="N225" t="s">
        <v>31</v>
      </c>
      <c r="O225" t="s">
        <v>32</v>
      </c>
      <c r="P225" t="s">
        <v>64</v>
      </c>
      <c r="Q225" s="1">
        <v>40917</v>
      </c>
      <c r="S225" s="2">
        <f t="shared" ca="1" si="18"/>
        <v>14.238356164383562</v>
      </c>
      <c r="T225" s="2" t="str">
        <f t="shared" ca="1" si="19"/>
        <v>10+ Years</v>
      </c>
      <c r="U225" t="s">
        <v>34</v>
      </c>
      <c r="V225" t="s">
        <v>35</v>
      </c>
      <c r="W225" t="s">
        <v>99</v>
      </c>
      <c r="X225" t="s">
        <v>105</v>
      </c>
      <c r="Y225" t="s">
        <v>119</v>
      </c>
      <c r="Z225" t="s">
        <v>47</v>
      </c>
      <c r="AA225">
        <v>4.2</v>
      </c>
      <c r="AB225">
        <v>5</v>
      </c>
      <c r="AC225">
        <v>0</v>
      </c>
      <c r="AD225" s="1">
        <v>43497</v>
      </c>
      <c r="AE225">
        <v>0</v>
      </c>
      <c r="AF225">
        <v>9</v>
      </c>
    </row>
    <row r="226" spans="1:32" x14ac:dyDescent="0.3">
      <c r="A226" t="s">
        <v>391</v>
      </c>
      <c r="B226">
        <v>5</v>
      </c>
      <c r="C226">
        <v>5</v>
      </c>
      <c r="D226">
        <v>46799</v>
      </c>
      <c r="E226" t="str">
        <f t="shared" si="15"/>
        <v>Medium</v>
      </c>
      <c r="F226">
        <v>1</v>
      </c>
      <c r="G226" t="str">
        <f t="shared" si="16"/>
        <v>Yes</v>
      </c>
      <c r="H226" t="s">
        <v>27</v>
      </c>
      <c r="I226" t="s">
        <v>28</v>
      </c>
      <c r="J226" s="1">
        <v>30970</v>
      </c>
      <c r="K226" s="2">
        <f t="shared" ca="1" si="17"/>
        <v>42</v>
      </c>
      <c r="L226" t="s">
        <v>49</v>
      </c>
      <c r="M226" t="s">
        <v>53</v>
      </c>
      <c r="N226" t="s">
        <v>80</v>
      </c>
      <c r="O226" t="s">
        <v>32</v>
      </c>
      <c r="P226" t="s">
        <v>83</v>
      </c>
      <c r="Q226" s="1">
        <v>40679</v>
      </c>
      <c r="R226" s="1">
        <v>43255</v>
      </c>
      <c r="S226" s="2">
        <f t="shared" ca="1" si="18"/>
        <v>7.0575342465753428</v>
      </c>
      <c r="T226" s="2" t="str">
        <f t="shared" ca="1" si="19"/>
        <v>6-10 Years</v>
      </c>
      <c r="U226" t="s">
        <v>70</v>
      </c>
      <c r="V226" t="s">
        <v>43</v>
      </c>
      <c r="W226" t="s">
        <v>36</v>
      </c>
      <c r="X226" t="s">
        <v>51</v>
      </c>
      <c r="Y226" t="s">
        <v>56</v>
      </c>
      <c r="Z226" t="s">
        <v>47</v>
      </c>
      <c r="AA226">
        <v>3.17</v>
      </c>
      <c r="AB226">
        <v>4</v>
      </c>
      <c r="AC226">
        <v>0</v>
      </c>
      <c r="AD226" s="1">
        <v>43192</v>
      </c>
      <c r="AE226">
        <v>0</v>
      </c>
      <c r="AF226">
        <v>14</v>
      </c>
    </row>
    <row r="227" spans="1:32" x14ac:dyDescent="0.3">
      <c r="A227" t="s">
        <v>392</v>
      </c>
      <c r="B227">
        <v>1</v>
      </c>
      <c r="C227">
        <v>5</v>
      </c>
      <c r="D227">
        <v>59472</v>
      </c>
      <c r="E227" t="str">
        <f t="shared" si="15"/>
        <v>Medium</v>
      </c>
      <c r="F227">
        <v>0</v>
      </c>
      <c r="G227" t="str">
        <f t="shared" si="16"/>
        <v>No</v>
      </c>
      <c r="H227" t="s">
        <v>27</v>
      </c>
      <c r="I227" t="s">
        <v>28</v>
      </c>
      <c r="J227" s="1">
        <v>22451</v>
      </c>
      <c r="K227" s="2">
        <f t="shared" ca="1" si="17"/>
        <v>65</v>
      </c>
      <c r="L227" t="s">
        <v>29</v>
      </c>
      <c r="M227" t="s">
        <v>30</v>
      </c>
      <c r="N227" t="s">
        <v>31</v>
      </c>
      <c r="O227" t="s">
        <v>32</v>
      </c>
      <c r="P227" t="s">
        <v>33</v>
      </c>
      <c r="Q227" s="1">
        <v>41645</v>
      </c>
      <c r="S227" s="2">
        <f t="shared" ca="1" si="18"/>
        <v>12.243835616438357</v>
      </c>
      <c r="T227" s="2" t="str">
        <f t="shared" ca="1" si="19"/>
        <v>10+ Years</v>
      </c>
      <c r="U227" t="s">
        <v>34</v>
      </c>
      <c r="V227" t="s">
        <v>35</v>
      </c>
      <c r="W227" t="s">
        <v>36</v>
      </c>
      <c r="X227" t="s">
        <v>76</v>
      </c>
      <c r="Y227" t="s">
        <v>63</v>
      </c>
      <c r="Z227" t="s">
        <v>47</v>
      </c>
      <c r="AA227">
        <v>4.8</v>
      </c>
      <c r="AB227">
        <v>3</v>
      </c>
      <c r="AC227">
        <v>0</v>
      </c>
      <c r="AD227" s="1">
        <v>43472</v>
      </c>
      <c r="AE227">
        <v>0</v>
      </c>
      <c r="AF227">
        <v>14</v>
      </c>
    </row>
    <row r="228" spans="1:32" x14ac:dyDescent="0.3">
      <c r="A228" t="s">
        <v>393</v>
      </c>
      <c r="B228">
        <v>5</v>
      </c>
      <c r="C228">
        <v>5</v>
      </c>
      <c r="D228">
        <v>46430</v>
      </c>
      <c r="E228" t="str">
        <f t="shared" si="15"/>
        <v>Medium</v>
      </c>
      <c r="F228">
        <v>1</v>
      </c>
      <c r="G228" t="str">
        <f t="shared" si="16"/>
        <v>Yes</v>
      </c>
      <c r="H228" t="s">
        <v>27</v>
      </c>
      <c r="I228" t="s">
        <v>28</v>
      </c>
      <c r="J228" s="1">
        <v>25833</v>
      </c>
      <c r="K228" s="2">
        <f t="shared" ca="1" si="17"/>
        <v>56</v>
      </c>
      <c r="L228" t="s">
        <v>49</v>
      </c>
      <c r="M228" t="s">
        <v>53</v>
      </c>
      <c r="N228" t="s">
        <v>31</v>
      </c>
      <c r="O228" t="s">
        <v>32</v>
      </c>
      <c r="P228" t="s">
        <v>33</v>
      </c>
      <c r="Q228" s="1">
        <v>41176</v>
      </c>
      <c r="R228" s="1">
        <v>41443</v>
      </c>
      <c r="S228" s="2">
        <f t="shared" ca="1" si="18"/>
        <v>0.73150684931506849</v>
      </c>
      <c r="T228" s="2" t="str">
        <f t="shared" ca="1" si="19"/>
        <v>0-2 Years</v>
      </c>
      <c r="U228" t="s">
        <v>72</v>
      </c>
      <c r="V228" t="s">
        <v>43</v>
      </c>
      <c r="W228" t="s">
        <v>36</v>
      </c>
      <c r="X228" t="s">
        <v>51</v>
      </c>
      <c r="Y228" t="s">
        <v>46</v>
      </c>
      <c r="Z228" t="s">
        <v>47</v>
      </c>
      <c r="AA228">
        <v>4.5</v>
      </c>
      <c r="AB228">
        <v>5</v>
      </c>
      <c r="AC228">
        <v>0</v>
      </c>
      <c r="AD228" s="1">
        <v>41366</v>
      </c>
      <c r="AE228">
        <v>0</v>
      </c>
      <c r="AF228">
        <v>16</v>
      </c>
    </row>
    <row r="229" spans="1:32" x14ac:dyDescent="0.3">
      <c r="A229" t="s">
        <v>394</v>
      </c>
      <c r="B229">
        <v>5</v>
      </c>
      <c r="C229">
        <v>1</v>
      </c>
      <c r="D229">
        <v>83363</v>
      </c>
      <c r="E229" t="str">
        <f t="shared" si="15"/>
        <v>High</v>
      </c>
      <c r="F229">
        <v>1</v>
      </c>
      <c r="G229" t="str">
        <f t="shared" si="16"/>
        <v>Yes</v>
      </c>
      <c r="H229" t="s">
        <v>58</v>
      </c>
      <c r="I229" t="s">
        <v>28</v>
      </c>
      <c r="J229" s="1">
        <v>30992</v>
      </c>
      <c r="K229" s="2">
        <f t="shared" ca="1" si="17"/>
        <v>42</v>
      </c>
      <c r="L229" t="s">
        <v>29</v>
      </c>
      <c r="M229" t="s">
        <v>41</v>
      </c>
      <c r="N229" t="s">
        <v>80</v>
      </c>
      <c r="O229" t="s">
        <v>32</v>
      </c>
      <c r="P229" t="s">
        <v>64</v>
      </c>
      <c r="Q229" s="1">
        <v>40595</v>
      </c>
      <c r="R229" s="1">
        <v>42231</v>
      </c>
      <c r="S229" s="2">
        <f t="shared" ca="1" si="18"/>
        <v>4.4821917808219176</v>
      </c>
      <c r="T229" s="2" t="str">
        <f t="shared" ca="1" si="19"/>
        <v>3-5 Years</v>
      </c>
      <c r="U229" t="s">
        <v>42</v>
      </c>
      <c r="V229" t="s">
        <v>43</v>
      </c>
      <c r="W229" t="s">
        <v>59</v>
      </c>
      <c r="X229" t="s">
        <v>94</v>
      </c>
      <c r="Y229" t="s">
        <v>66</v>
      </c>
      <c r="Z229" t="s">
        <v>47</v>
      </c>
      <c r="AA229">
        <v>4.1500000000000004</v>
      </c>
      <c r="AB229">
        <v>4</v>
      </c>
      <c r="AC229">
        <v>0</v>
      </c>
      <c r="AD229" s="1">
        <v>41748</v>
      </c>
      <c r="AE229">
        <v>0</v>
      </c>
      <c r="AF229">
        <v>4</v>
      </c>
    </row>
    <row r="230" spans="1:32" x14ac:dyDescent="0.3">
      <c r="A230" t="s">
        <v>395</v>
      </c>
      <c r="B230">
        <v>1</v>
      </c>
      <c r="C230">
        <v>3</v>
      </c>
      <c r="D230">
        <v>95920</v>
      </c>
      <c r="E230" t="str">
        <f t="shared" si="15"/>
        <v>High</v>
      </c>
      <c r="F230">
        <v>0</v>
      </c>
      <c r="G230" t="str">
        <f t="shared" si="16"/>
        <v>No</v>
      </c>
      <c r="H230" t="s">
        <v>116</v>
      </c>
      <c r="I230" t="s">
        <v>28</v>
      </c>
      <c r="J230" s="1">
        <v>29353</v>
      </c>
      <c r="K230" s="2">
        <f t="shared" ca="1" si="17"/>
        <v>46</v>
      </c>
      <c r="L230" t="s">
        <v>49</v>
      </c>
      <c r="M230" t="s">
        <v>41</v>
      </c>
      <c r="N230" t="s">
        <v>31</v>
      </c>
      <c r="O230" t="s">
        <v>32</v>
      </c>
      <c r="P230" t="s">
        <v>64</v>
      </c>
      <c r="Q230" s="1">
        <v>42645</v>
      </c>
      <c r="S230" s="2">
        <f t="shared" ca="1" si="18"/>
        <v>9.5041095890410965</v>
      </c>
      <c r="T230" s="2" t="str">
        <f t="shared" ca="1" si="19"/>
        <v>6-10 Years</v>
      </c>
      <c r="U230" t="s">
        <v>34</v>
      </c>
      <c r="V230" t="s">
        <v>35</v>
      </c>
      <c r="W230" t="s">
        <v>44</v>
      </c>
      <c r="X230" t="s">
        <v>117</v>
      </c>
      <c r="Y230" t="s">
        <v>46</v>
      </c>
      <c r="Z230" t="s">
        <v>47</v>
      </c>
      <c r="AA230">
        <v>4.4000000000000004</v>
      </c>
      <c r="AB230">
        <v>4</v>
      </c>
      <c r="AC230">
        <v>6</v>
      </c>
      <c r="AD230" s="1">
        <v>43502</v>
      </c>
      <c r="AE230">
        <v>0</v>
      </c>
      <c r="AF230">
        <v>10</v>
      </c>
    </row>
    <row r="231" spans="1:32" x14ac:dyDescent="0.3">
      <c r="A231" t="s">
        <v>396</v>
      </c>
      <c r="B231">
        <v>5</v>
      </c>
      <c r="C231">
        <v>5</v>
      </c>
      <c r="D231">
        <v>61729</v>
      </c>
      <c r="E231" t="str">
        <f t="shared" si="15"/>
        <v>High</v>
      </c>
      <c r="F231">
        <v>1</v>
      </c>
      <c r="G231" t="str">
        <f t="shared" si="16"/>
        <v>Yes</v>
      </c>
      <c r="H231" t="s">
        <v>27</v>
      </c>
      <c r="I231" t="s">
        <v>28</v>
      </c>
      <c r="J231" s="1">
        <v>31047</v>
      </c>
      <c r="K231" s="2">
        <f t="shared" ca="1" si="17"/>
        <v>42</v>
      </c>
      <c r="L231" t="s">
        <v>29</v>
      </c>
      <c r="M231" t="s">
        <v>53</v>
      </c>
      <c r="N231" t="s">
        <v>31</v>
      </c>
      <c r="O231" t="s">
        <v>32</v>
      </c>
      <c r="P231" t="s">
        <v>33</v>
      </c>
      <c r="Q231" s="1">
        <v>40812</v>
      </c>
      <c r="R231" s="1">
        <v>43197</v>
      </c>
      <c r="S231" s="2">
        <f t="shared" ca="1" si="18"/>
        <v>6.5342465753424657</v>
      </c>
      <c r="T231" s="2" t="str">
        <f t="shared" ca="1" si="19"/>
        <v>6-10 Years</v>
      </c>
      <c r="U231" t="s">
        <v>115</v>
      </c>
      <c r="V231" t="s">
        <v>43</v>
      </c>
      <c r="W231" t="s">
        <v>36</v>
      </c>
      <c r="X231" t="s">
        <v>37</v>
      </c>
      <c r="Y231" t="s">
        <v>46</v>
      </c>
      <c r="Z231" t="s">
        <v>47</v>
      </c>
      <c r="AA231">
        <v>3.8</v>
      </c>
      <c r="AB231">
        <v>5</v>
      </c>
      <c r="AC231">
        <v>0</v>
      </c>
      <c r="AD231" s="1">
        <v>43135</v>
      </c>
      <c r="AE231">
        <v>0</v>
      </c>
      <c r="AF231">
        <v>19</v>
      </c>
    </row>
    <row r="232" spans="1:32" x14ac:dyDescent="0.3">
      <c r="A232" t="s">
        <v>397</v>
      </c>
      <c r="B232">
        <v>1</v>
      </c>
      <c r="C232">
        <v>6</v>
      </c>
      <c r="D232">
        <v>61809</v>
      </c>
      <c r="E232" t="str">
        <f t="shared" si="15"/>
        <v>High</v>
      </c>
      <c r="F232">
        <v>0</v>
      </c>
      <c r="G232" t="str">
        <f t="shared" si="16"/>
        <v>No</v>
      </c>
      <c r="H232" t="s">
        <v>97</v>
      </c>
      <c r="I232" t="s">
        <v>155</v>
      </c>
      <c r="J232" s="1">
        <v>20009</v>
      </c>
      <c r="K232" s="2">
        <f t="shared" ca="1" si="17"/>
        <v>72</v>
      </c>
      <c r="L232" t="s">
        <v>29</v>
      </c>
      <c r="M232" t="s">
        <v>41</v>
      </c>
      <c r="N232" t="s">
        <v>31</v>
      </c>
      <c r="O232" t="s">
        <v>32</v>
      </c>
      <c r="P232" t="s">
        <v>33</v>
      </c>
      <c r="Q232" s="1">
        <v>41771</v>
      </c>
      <c r="S232" s="2">
        <f t="shared" ca="1" si="18"/>
        <v>11.898630136986302</v>
      </c>
      <c r="T232" s="2" t="str">
        <f t="shared" ca="1" si="19"/>
        <v>10+ Years</v>
      </c>
      <c r="U232" t="s">
        <v>34</v>
      </c>
      <c r="V232" t="s">
        <v>35</v>
      </c>
      <c r="W232" t="s">
        <v>99</v>
      </c>
      <c r="X232" t="s">
        <v>100</v>
      </c>
      <c r="Y232" t="s">
        <v>84</v>
      </c>
      <c r="Z232" t="s">
        <v>47</v>
      </c>
      <c r="AA232">
        <v>3.98</v>
      </c>
      <c r="AB232">
        <v>3</v>
      </c>
      <c r="AC232">
        <v>0</v>
      </c>
      <c r="AD232" s="1">
        <v>43493</v>
      </c>
      <c r="AE232">
        <v>0</v>
      </c>
      <c r="AF232">
        <v>4</v>
      </c>
    </row>
    <row r="233" spans="1:32" x14ac:dyDescent="0.3">
      <c r="A233" t="s">
        <v>398</v>
      </c>
      <c r="B233">
        <v>5</v>
      </c>
      <c r="C233">
        <v>5</v>
      </c>
      <c r="D233">
        <v>45115</v>
      </c>
      <c r="E233" t="str">
        <f t="shared" si="15"/>
        <v>Medium</v>
      </c>
      <c r="F233">
        <v>1</v>
      </c>
      <c r="G233" t="str">
        <f t="shared" si="16"/>
        <v>Yes</v>
      </c>
      <c r="H233" t="s">
        <v>27</v>
      </c>
      <c r="I233" t="s">
        <v>28</v>
      </c>
      <c r="J233" s="1">
        <v>30154</v>
      </c>
      <c r="K233" s="2">
        <f t="shared" ca="1" si="17"/>
        <v>44</v>
      </c>
      <c r="L233" t="s">
        <v>29</v>
      </c>
      <c r="M233" t="s">
        <v>53</v>
      </c>
      <c r="N233" t="s">
        <v>31</v>
      </c>
      <c r="O233" t="s">
        <v>69</v>
      </c>
      <c r="P233" t="s">
        <v>33</v>
      </c>
      <c r="Q233" s="1">
        <v>40679</v>
      </c>
      <c r="R233" s="1">
        <v>42384</v>
      </c>
      <c r="S233" s="2">
        <f t="shared" ca="1" si="18"/>
        <v>4.6712328767123283</v>
      </c>
      <c r="T233" s="2" t="str">
        <f t="shared" ca="1" si="19"/>
        <v>3-5 Years</v>
      </c>
      <c r="U233" t="s">
        <v>93</v>
      </c>
      <c r="V233" t="s">
        <v>43</v>
      </c>
      <c r="W233" t="s">
        <v>36</v>
      </c>
      <c r="X233" t="s">
        <v>52</v>
      </c>
      <c r="Y233" t="s">
        <v>38</v>
      </c>
      <c r="Z233" t="s">
        <v>47</v>
      </c>
      <c r="AA233">
        <v>5</v>
      </c>
      <c r="AB233">
        <v>4</v>
      </c>
      <c r="AC233">
        <v>0</v>
      </c>
      <c r="AD233" s="1">
        <v>42093</v>
      </c>
      <c r="AE233">
        <v>0</v>
      </c>
      <c r="AF233">
        <v>11</v>
      </c>
    </row>
    <row r="234" spans="1:32" x14ac:dyDescent="0.3">
      <c r="A234" t="s">
        <v>399</v>
      </c>
      <c r="B234">
        <v>1</v>
      </c>
      <c r="C234">
        <v>5</v>
      </c>
      <c r="D234">
        <v>46738</v>
      </c>
      <c r="E234" t="str">
        <f t="shared" si="15"/>
        <v>Medium</v>
      </c>
      <c r="F234">
        <v>0</v>
      </c>
      <c r="G234" t="str">
        <f t="shared" si="16"/>
        <v>No</v>
      </c>
      <c r="H234" t="s">
        <v>27</v>
      </c>
      <c r="I234" t="s">
        <v>28</v>
      </c>
      <c r="J234" s="1">
        <v>26676</v>
      </c>
      <c r="K234" s="2">
        <f t="shared" ca="1" si="17"/>
        <v>53</v>
      </c>
      <c r="L234" t="s">
        <v>49</v>
      </c>
      <c r="M234" t="s">
        <v>41</v>
      </c>
      <c r="N234" t="s">
        <v>31</v>
      </c>
      <c r="O234" t="s">
        <v>32</v>
      </c>
      <c r="P234" t="s">
        <v>83</v>
      </c>
      <c r="Q234" s="1">
        <v>40875</v>
      </c>
      <c r="S234" s="2">
        <f t="shared" ca="1" si="18"/>
        <v>14.353424657534246</v>
      </c>
      <c r="T234" s="2" t="str">
        <f t="shared" ca="1" si="19"/>
        <v>10+ Years</v>
      </c>
      <c r="U234" t="s">
        <v>34</v>
      </c>
      <c r="V234" t="s">
        <v>35</v>
      </c>
      <c r="W234" t="s">
        <v>36</v>
      </c>
      <c r="X234" t="s">
        <v>55</v>
      </c>
      <c r="Y234" t="s">
        <v>56</v>
      </c>
      <c r="Z234" t="s">
        <v>39</v>
      </c>
      <c r="AA234">
        <v>4.3600000000000003</v>
      </c>
      <c r="AB234">
        <v>5</v>
      </c>
      <c r="AC234">
        <v>0</v>
      </c>
      <c r="AD234" s="1">
        <v>43507</v>
      </c>
      <c r="AE234">
        <v>0</v>
      </c>
      <c r="AF234">
        <v>16</v>
      </c>
    </row>
    <row r="235" spans="1:32" x14ac:dyDescent="0.3">
      <c r="A235" t="s">
        <v>400</v>
      </c>
      <c r="B235">
        <v>5</v>
      </c>
      <c r="C235">
        <v>5</v>
      </c>
      <c r="D235">
        <v>64971</v>
      </c>
      <c r="E235" t="str">
        <f t="shared" si="15"/>
        <v>High</v>
      </c>
      <c r="F235">
        <v>1</v>
      </c>
      <c r="G235" t="str">
        <f t="shared" si="16"/>
        <v>Yes</v>
      </c>
      <c r="H235" t="s">
        <v>48</v>
      </c>
      <c r="I235" t="s">
        <v>28</v>
      </c>
      <c r="J235" s="1">
        <v>29834</v>
      </c>
      <c r="K235" s="2">
        <f t="shared" ca="1" si="17"/>
        <v>45</v>
      </c>
      <c r="L235" t="s">
        <v>49</v>
      </c>
      <c r="M235" t="s">
        <v>53</v>
      </c>
      <c r="N235" t="s">
        <v>80</v>
      </c>
      <c r="O235" t="s">
        <v>32</v>
      </c>
      <c r="P235" t="s">
        <v>64</v>
      </c>
      <c r="Q235" s="1">
        <v>40812</v>
      </c>
      <c r="R235" s="1">
        <v>40838</v>
      </c>
      <c r="S235" s="2">
        <f t="shared" ca="1" si="18"/>
        <v>7.1232876712328766E-2</v>
      </c>
      <c r="T235" s="2" t="str">
        <f t="shared" ca="1" si="19"/>
        <v>0-2 Years</v>
      </c>
      <c r="U235" t="s">
        <v>54</v>
      </c>
      <c r="V235" t="s">
        <v>43</v>
      </c>
      <c r="W235" t="s">
        <v>36</v>
      </c>
      <c r="X235" t="s">
        <v>71</v>
      </c>
      <c r="Y235" t="s">
        <v>56</v>
      </c>
      <c r="Z235" t="s">
        <v>47</v>
      </c>
      <c r="AA235">
        <v>4.5</v>
      </c>
      <c r="AB235">
        <v>4</v>
      </c>
      <c r="AC235">
        <v>0</v>
      </c>
      <c r="AD235" s="1">
        <v>40838</v>
      </c>
      <c r="AE235">
        <v>0</v>
      </c>
      <c r="AF235">
        <v>10</v>
      </c>
    </row>
    <row r="236" spans="1:32" x14ac:dyDescent="0.3">
      <c r="A236" t="s">
        <v>401</v>
      </c>
      <c r="B236">
        <v>5</v>
      </c>
      <c r="C236">
        <v>5</v>
      </c>
      <c r="D236">
        <v>55578</v>
      </c>
      <c r="E236" t="str">
        <f t="shared" si="15"/>
        <v>Medium</v>
      </c>
      <c r="F236">
        <v>1</v>
      </c>
      <c r="G236" t="str">
        <f t="shared" si="16"/>
        <v>Yes</v>
      </c>
      <c r="H236" t="s">
        <v>48</v>
      </c>
      <c r="I236" t="s">
        <v>28</v>
      </c>
      <c r="J236" s="1">
        <v>26483</v>
      </c>
      <c r="K236" s="2">
        <f t="shared" ca="1" si="17"/>
        <v>54</v>
      </c>
      <c r="L236" t="s">
        <v>29</v>
      </c>
      <c r="M236" t="s">
        <v>41</v>
      </c>
      <c r="N236" t="s">
        <v>31</v>
      </c>
      <c r="O236" t="s">
        <v>32</v>
      </c>
      <c r="P236" t="s">
        <v>33</v>
      </c>
      <c r="Q236" s="1">
        <v>40729</v>
      </c>
      <c r="R236" s="1">
        <v>40947</v>
      </c>
      <c r="S236" s="2">
        <f t="shared" ca="1" si="18"/>
        <v>0.59726027397260273</v>
      </c>
      <c r="T236" s="2" t="str">
        <f t="shared" ca="1" si="19"/>
        <v>0-2 Years</v>
      </c>
      <c r="U236" t="s">
        <v>70</v>
      </c>
      <c r="V236" t="s">
        <v>43</v>
      </c>
      <c r="W236" t="s">
        <v>36</v>
      </c>
      <c r="X236" t="s">
        <v>51</v>
      </c>
      <c r="Y236" t="s">
        <v>46</v>
      </c>
      <c r="Z236" t="s">
        <v>47</v>
      </c>
      <c r="AA236">
        <v>4.2</v>
      </c>
      <c r="AB236">
        <v>5</v>
      </c>
      <c r="AC236">
        <v>0</v>
      </c>
      <c r="AD236" s="1">
        <v>40914</v>
      </c>
      <c r="AE236">
        <v>0</v>
      </c>
      <c r="AF236">
        <v>13</v>
      </c>
    </row>
    <row r="237" spans="1:32" x14ac:dyDescent="0.3">
      <c r="A237" t="s">
        <v>402</v>
      </c>
      <c r="B237">
        <v>5</v>
      </c>
      <c r="C237">
        <v>5</v>
      </c>
      <c r="D237">
        <v>50428</v>
      </c>
      <c r="E237" t="str">
        <f t="shared" si="15"/>
        <v>Medium</v>
      </c>
      <c r="F237">
        <v>1</v>
      </c>
      <c r="G237" t="str">
        <f t="shared" si="16"/>
        <v>Yes</v>
      </c>
      <c r="H237" t="s">
        <v>27</v>
      </c>
      <c r="I237" t="s">
        <v>28</v>
      </c>
      <c r="J237" s="1">
        <v>27036</v>
      </c>
      <c r="K237" s="2">
        <f t="shared" ca="1" si="17"/>
        <v>52</v>
      </c>
      <c r="L237" t="s">
        <v>29</v>
      </c>
      <c r="M237" t="s">
        <v>41</v>
      </c>
      <c r="N237" t="s">
        <v>31</v>
      </c>
      <c r="O237" t="s">
        <v>32</v>
      </c>
      <c r="P237" t="s">
        <v>64</v>
      </c>
      <c r="Q237" s="1">
        <v>40553</v>
      </c>
      <c r="R237" s="1">
        <v>42395</v>
      </c>
      <c r="S237" s="2">
        <f t="shared" ca="1" si="18"/>
        <v>5.0465753424657533</v>
      </c>
      <c r="T237" s="2" t="str">
        <f t="shared" ca="1" si="19"/>
        <v>6-10 Years</v>
      </c>
      <c r="U237" t="s">
        <v>78</v>
      </c>
      <c r="V237" t="s">
        <v>43</v>
      </c>
      <c r="W237" t="s">
        <v>36</v>
      </c>
      <c r="X237" t="s">
        <v>57</v>
      </c>
      <c r="Y237" t="s">
        <v>46</v>
      </c>
      <c r="Z237" t="s">
        <v>47</v>
      </c>
      <c r="AA237">
        <v>5</v>
      </c>
      <c r="AB237">
        <v>3</v>
      </c>
      <c r="AC237">
        <v>0</v>
      </c>
      <c r="AD237" s="1">
        <v>42014</v>
      </c>
      <c r="AE237">
        <v>0</v>
      </c>
      <c r="AF237">
        <v>11</v>
      </c>
    </row>
    <row r="238" spans="1:32" x14ac:dyDescent="0.3">
      <c r="A238" t="s">
        <v>403</v>
      </c>
      <c r="B238">
        <v>4</v>
      </c>
      <c r="C238">
        <v>5</v>
      </c>
      <c r="D238">
        <v>61422</v>
      </c>
      <c r="E238" t="str">
        <f t="shared" si="15"/>
        <v>High</v>
      </c>
      <c r="F238">
        <v>1</v>
      </c>
      <c r="G238" t="str">
        <f t="shared" si="16"/>
        <v>Yes</v>
      </c>
      <c r="H238" t="s">
        <v>27</v>
      </c>
      <c r="I238" t="s">
        <v>28</v>
      </c>
      <c r="J238" s="1">
        <v>31054</v>
      </c>
      <c r="K238" s="2">
        <f t="shared" ca="1" si="17"/>
        <v>41</v>
      </c>
      <c r="L238" t="s">
        <v>49</v>
      </c>
      <c r="M238" t="s">
        <v>41</v>
      </c>
      <c r="N238" t="s">
        <v>31</v>
      </c>
      <c r="O238" t="s">
        <v>32</v>
      </c>
      <c r="P238" t="s">
        <v>33</v>
      </c>
      <c r="Q238" s="1">
        <v>40553</v>
      </c>
      <c r="R238" s="1">
        <v>42507</v>
      </c>
      <c r="S238" s="2">
        <f t="shared" ca="1" si="18"/>
        <v>5.353424657534247</v>
      </c>
      <c r="T238" s="2" t="str">
        <f t="shared" ca="1" si="19"/>
        <v>6-10 Years</v>
      </c>
      <c r="U238" t="s">
        <v>78</v>
      </c>
      <c r="V238" t="s">
        <v>79</v>
      </c>
      <c r="W238" t="s">
        <v>36</v>
      </c>
      <c r="X238" t="s">
        <v>62</v>
      </c>
      <c r="Y238" t="s">
        <v>46</v>
      </c>
      <c r="Z238" t="s">
        <v>85</v>
      </c>
      <c r="AA238">
        <v>3.6</v>
      </c>
      <c r="AB238">
        <v>3</v>
      </c>
      <c r="AC238">
        <v>0</v>
      </c>
      <c r="AD238" s="1">
        <v>42465</v>
      </c>
      <c r="AE238">
        <v>4</v>
      </c>
      <c r="AF238">
        <v>16</v>
      </c>
    </row>
    <row r="239" spans="1:32" x14ac:dyDescent="0.3">
      <c r="A239" t="s">
        <v>404</v>
      </c>
      <c r="B239">
        <v>1</v>
      </c>
      <c r="C239">
        <v>5</v>
      </c>
      <c r="D239">
        <v>63353</v>
      </c>
      <c r="E239" t="str">
        <f t="shared" si="15"/>
        <v>High</v>
      </c>
      <c r="F239">
        <v>0</v>
      </c>
      <c r="G239" t="str">
        <f t="shared" si="16"/>
        <v>No</v>
      </c>
      <c r="H239" t="s">
        <v>27</v>
      </c>
      <c r="I239" t="s">
        <v>28</v>
      </c>
      <c r="J239" s="1">
        <v>31075</v>
      </c>
      <c r="K239" s="2">
        <f t="shared" ca="1" si="17"/>
        <v>41</v>
      </c>
      <c r="L239" t="s">
        <v>29</v>
      </c>
      <c r="M239" t="s">
        <v>61</v>
      </c>
      <c r="N239" t="s">
        <v>31</v>
      </c>
      <c r="O239" t="s">
        <v>32</v>
      </c>
      <c r="P239" t="s">
        <v>33</v>
      </c>
      <c r="Q239" s="1">
        <v>41463</v>
      </c>
      <c r="S239" s="2">
        <f t="shared" ca="1" si="18"/>
        <v>12.742465753424657</v>
      </c>
      <c r="T239" s="2" t="str">
        <f t="shared" ca="1" si="19"/>
        <v>10+ Years</v>
      </c>
      <c r="U239" t="s">
        <v>34</v>
      </c>
      <c r="V239" t="s">
        <v>35</v>
      </c>
      <c r="W239" t="s">
        <v>36</v>
      </c>
      <c r="X239" t="s">
        <v>65</v>
      </c>
      <c r="Y239" t="s">
        <v>63</v>
      </c>
      <c r="Z239" t="s">
        <v>39</v>
      </c>
      <c r="AA239">
        <v>3.6</v>
      </c>
      <c r="AB239">
        <v>5</v>
      </c>
      <c r="AC239">
        <v>0</v>
      </c>
      <c r="AD239" s="1">
        <v>43507</v>
      </c>
      <c r="AE239">
        <v>0</v>
      </c>
      <c r="AF239">
        <v>4</v>
      </c>
    </row>
    <row r="240" spans="1:32" x14ac:dyDescent="0.3">
      <c r="A240" t="s">
        <v>405</v>
      </c>
      <c r="B240">
        <v>1</v>
      </c>
      <c r="C240">
        <v>3</v>
      </c>
      <c r="D240">
        <v>89883</v>
      </c>
      <c r="E240" t="str">
        <f t="shared" si="15"/>
        <v>High</v>
      </c>
      <c r="F240">
        <v>0</v>
      </c>
      <c r="G240" t="str">
        <f t="shared" si="16"/>
        <v>No</v>
      </c>
      <c r="H240" t="s">
        <v>73</v>
      </c>
      <c r="I240" t="s">
        <v>28</v>
      </c>
      <c r="J240" s="1">
        <v>29870</v>
      </c>
      <c r="K240" s="2">
        <f t="shared" ca="1" si="17"/>
        <v>45</v>
      </c>
      <c r="L240" t="s">
        <v>49</v>
      </c>
      <c r="M240" t="s">
        <v>41</v>
      </c>
      <c r="N240" t="s">
        <v>31</v>
      </c>
      <c r="O240" t="s">
        <v>32</v>
      </c>
      <c r="P240" t="s">
        <v>33</v>
      </c>
      <c r="Q240" s="1">
        <v>42051</v>
      </c>
      <c r="S240" s="2">
        <f t="shared" ca="1" si="18"/>
        <v>11.131506849315068</v>
      </c>
      <c r="T240" s="2" t="str">
        <f t="shared" ca="1" si="19"/>
        <v>10+ Years</v>
      </c>
      <c r="U240" t="s">
        <v>34</v>
      </c>
      <c r="V240" t="s">
        <v>35</v>
      </c>
      <c r="W240" t="s">
        <v>44</v>
      </c>
      <c r="X240" t="s">
        <v>45</v>
      </c>
      <c r="Y240" t="s">
        <v>63</v>
      </c>
      <c r="Z240" t="s">
        <v>47</v>
      </c>
      <c r="AA240">
        <v>3.69</v>
      </c>
      <c r="AB240">
        <v>5</v>
      </c>
      <c r="AC240">
        <v>6</v>
      </c>
      <c r="AD240" s="1">
        <v>43510</v>
      </c>
      <c r="AE240">
        <v>0</v>
      </c>
      <c r="AF240">
        <v>15</v>
      </c>
    </row>
    <row r="241" spans="1:32" x14ac:dyDescent="0.3">
      <c r="A241" t="s">
        <v>406</v>
      </c>
      <c r="B241">
        <v>5</v>
      </c>
      <c r="C241">
        <v>3</v>
      </c>
      <c r="D241">
        <v>120000</v>
      </c>
      <c r="E241" t="str">
        <f t="shared" si="15"/>
        <v>High</v>
      </c>
      <c r="F241">
        <v>1</v>
      </c>
      <c r="G241" t="str">
        <f t="shared" si="16"/>
        <v>Yes</v>
      </c>
      <c r="H241" t="s">
        <v>156</v>
      </c>
      <c r="I241" t="s">
        <v>28</v>
      </c>
      <c r="J241" s="1">
        <v>26811</v>
      </c>
      <c r="K241" s="2">
        <f t="shared" ca="1" si="17"/>
        <v>53</v>
      </c>
      <c r="L241" t="s">
        <v>49</v>
      </c>
      <c r="M241" t="s">
        <v>30</v>
      </c>
      <c r="N241" t="s">
        <v>31</v>
      </c>
      <c r="O241" t="s">
        <v>69</v>
      </c>
      <c r="P241" t="s">
        <v>33</v>
      </c>
      <c r="Q241" s="1">
        <v>42009</v>
      </c>
      <c r="R241" s="1">
        <v>43414</v>
      </c>
      <c r="S241" s="2">
        <f t="shared" ca="1" si="18"/>
        <v>3.8493150684931505</v>
      </c>
      <c r="T241" s="2" t="str">
        <f t="shared" ca="1" si="19"/>
        <v>3-5 Years</v>
      </c>
      <c r="U241" t="s">
        <v>70</v>
      </c>
      <c r="V241" t="s">
        <v>43</v>
      </c>
      <c r="W241" t="s">
        <v>44</v>
      </c>
      <c r="X241" t="s">
        <v>45</v>
      </c>
      <c r="Y241" t="s">
        <v>38</v>
      </c>
      <c r="Z241" t="s">
        <v>47</v>
      </c>
      <c r="AA241">
        <v>3.88</v>
      </c>
      <c r="AB241">
        <v>3</v>
      </c>
      <c r="AC241">
        <v>7</v>
      </c>
      <c r="AD241" s="1">
        <v>43144</v>
      </c>
      <c r="AE241">
        <v>0</v>
      </c>
      <c r="AF241">
        <v>12</v>
      </c>
    </row>
    <row r="242" spans="1:32" x14ac:dyDescent="0.3">
      <c r="A242" t="s">
        <v>407</v>
      </c>
      <c r="B242">
        <v>1</v>
      </c>
      <c r="C242">
        <v>3</v>
      </c>
      <c r="D242">
        <v>150290</v>
      </c>
      <c r="E242" t="str">
        <f t="shared" si="15"/>
        <v>High</v>
      </c>
      <c r="F242">
        <v>0</v>
      </c>
      <c r="G242" t="str">
        <f t="shared" si="16"/>
        <v>No</v>
      </c>
      <c r="H242" t="s">
        <v>157</v>
      </c>
      <c r="I242" t="s">
        <v>28</v>
      </c>
      <c r="J242" s="1">
        <v>26624</v>
      </c>
      <c r="K242" s="2">
        <f t="shared" ca="1" si="17"/>
        <v>54</v>
      </c>
      <c r="L242" t="s">
        <v>49</v>
      </c>
      <c r="M242" t="s">
        <v>30</v>
      </c>
      <c r="N242" t="s">
        <v>31</v>
      </c>
      <c r="O242" t="s">
        <v>32</v>
      </c>
      <c r="P242" t="s">
        <v>64</v>
      </c>
      <c r="Q242" s="1">
        <v>42742</v>
      </c>
      <c r="S242" s="2">
        <f t="shared" ca="1" si="18"/>
        <v>9.2383561643835623</v>
      </c>
      <c r="T242" s="2" t="str">
        <f t="shared" ca="1" si="19"/>
        <v>6-10 Years</v>
      </c>
      <c r="U242" t="s">
        <v>34</v>
      </c>
      <c r="V242" t="s">
        <v>35</v>
      </c>
      <c r="W242" t="s">
        <v>44</v>
      </c>
      <c r="X242" t="s">
        <v>117</v>
      </c>
      <c r="Y242" t="s">
        <v>46</v>
      </c>
      <c r="Z242" t="s">
        <v>47</v>
      </c>
      <c r="AA242">
        <v>4.9400000000000004</v>
      </c>
      <c r="AB242">
        <v>3</v>
      </c>
      <c r="AC242">
        <v>5</v>
      </c>
      <c r="AD242" s="1">
        <v>43502</v>
      </c>
      <c r="AE242">
        <v>0</v>
      </c>
      <c r="AF242">
        <v>17</v>
      </c>
    </row>
    <row r="243" spans="1:32" x14ac:dyDescent="0.3">
      <c r="A243" t="s">
        <v>408</v>
      </c>
      <c r="B243">
        <v>1</v>
      </c>
      <c r="C243">
        <v>5</v>
      </c>
      <c r="D243">
        <v>60627</v>
      </c>
      <c r="E243" t="str">
        <f t="shared" si="15"/>
        <v>High</v>
      </c>
      <c r="F243">
        <v>0</v>
      </c>
      <c r="G243" t="str">
        <f t="shared" si="16"/>
        <v>No</v>
      </c>
      <c r="H243" t="s">
        <v>27</v>
      </c>
      <c r="I243" t="s">
        <v>28</v>
      </c>
      <c r="J243" s="1">
        <v>27368</v>
      </c>
      <c r="K243" s="2">
        <f t="shared" ca="1" si="17"/>
        <v>52</v>
      </c>
      <c r="L243" t="s">
        <v>49</v>
      </c>
      <c r="M243" t="s">
        <v>96</v>
      </c>
      <c r="N243" t="s">
        <v>31</v>
      </c>
      <c r="O243" t="s">
        <v>32</v>
      </c>
      <c r="P243" t="s">
        <v>33</v>
      </c>
      <c r="Q243" s="1">
        <v>41645</v>
      </c>
      <c r="S243" s="2">
        <f t="shared" ca="1" si="18"/>
        <v>12.243835616438357</v>
      </c>
      <c r="T243" s="2" t="str">
        <f t="shared" ca="1" si="19"/>
        <v>10+ Years</v>
      </c>
      <c r="U243" t="s">
        <v>34</v>
      </c>
      <c r="V243" t="s">
        <v>35</v>
      </c>
      <c r="W243" t="s">
        <v>36</v>
      </c>
      <c r="X243" t="s">
        <v>71</v>
      </c>
      <c r="Y243" t="s">
        <v>119</v>
      </c>
      <c r="Z243" t="s">
        <v>47</v>
      </c>
      <c r="AA243">
        <v>5</v>
      </c>
      <c r="AB243">
        <v>4</v>
      </c>
      <c r="AC243">
        <v>0</v>
      </c>
      <c r="AD243" s="1">
        <v>43496</v>
      </c>
      <c r="AE243">
        <v>0</v>
      </c>
      <c r="AF243">
        <v>8</v>
      </c>
    </row>
    <row r="244" spans="1:32" x14ac:dyDescent="0.3">
      <c r="A244" t="s">
        <v>409</v>
      </c>
      <c r="B244">
        <v>5</v>
      </c>
      <c r="C244">
        <v>5</v>
      </c>
      <c r="D244">
        <v>53180</v>
      </c>
      <c r="E244" t="str">
        <f t="shared" si="15"/>
        <v>Medium</v>
      </c>
      <c r="F244">
        <v>1</v>
      </c>
      <c r="G244" t="str">
        <f t="shared" si="16"/>
        <v>Yes</v>
      </c>
      <c r="H244" t="s">
        <v>27</v>
      </c>
      <c r="I244" t="s">
        <v>28</v>
      </c>
      <c r="J244" s="1">
        <v>31854</v>
      </c>
      <c r="K244" s="2">
        <f t="shared" ca="1" si="17"/>
        <v>39</v>
      </c>
      <c r="L244" t="s">
        <v>29</v>
      </c>
      <c r="M244" t="s">
        <v>30</v>
      </c>
      <c r="N244" t="s">
        <v>31</v>
      </c>
      <c r="O244" t="s">
        <v>32</v>
      </c>
      <c r="P244" t="s">
        <v>33</v>
      </c>
      <c r="Q244" s="1">
        <v>40637</v>
      </c>
      <c r="R244" s="1">
        <v>43325</v>
      </c>
      <c r="S244" s="2">
        <f t="shared" ca="1" si="18"/>
        <v>7.3643835616438356</v>
      </c>
      <c r="T244" s="2" t="str">
        <f t="shared" ca="1" si="19"/>
        <v>6-10 Years</v>
      </c>
      <c r="U244" t="s">
        <v>70</v>
      </c>
      <c r="V244" t="s">
        <v>43</v>
      </c>
      <c r="W244" t="s">
        <v>36</v>
      </c>
      <c r="X244" t="s">
        <v>51</v>
      </c>
      <c r="Y244" t="s">
        <v>56</v>
      </c>
      <c r="Z244" t="s">
        <v>47</v>
      </c>
      <c r="AA244">
        <v>5</v>
      </c>
      <c r="AB244">
        <v>5</v>
      </c>
      <c r="AC244">
        <v>0</v>
      </c>
      <c r="AD244" s="1">
        <v>43283</v>
      </c>
      <c r="AE244">
        <v>0</v>
      </c>
      <c r="AF244">
        <v>4</v>
      </c>
    </row>
    <row r="245" spans="1:32" x14ac:dyDescent="0.3">
      <c r="A245" t="s">
        <v>410</v>
      </c>
      <c r="B245">
        <v>1</v>
      </c>
      <c r="C245">
        <v>3</v>
      </c>
      <c r="D245">
        <v>140920</v>
      </c>
      <c r="E245" t="str">
        <f t="shared" si="15"/>
        <v>High</v>
      </c>
      <c r="F245">
        <v>0</v>
      </c>
      <c r="G245" t="str">
        <f t="shared" si="16"/>
        <v>No</v>
      </c>
      <c r="H245" t="s">
        <v>158</v>
      </c>
      <c r="I245" t="s">
        <v>28</v>
      </c>
      <c r="J245" s="1">
        <v>26759</v>
      </c>
      <c r="K245" s="2">
        <f t="shared" ca="1" si="17"/>
        <v>53</v>
      </c>
      <c r="L245" t="s">
        <v>29</v>
      </c>
      <c r="M245" t="s">
        <v>30</v>
      </c>
      <c r="N245" t="s">
        <v>31</v>
      </c>
      <c r="O245" t="s">
        <v>32</v>
      </c>
      <c r="P245" t="s">
        <v>33</v>
      </c>
      <c r="Q245" s="1">
        <v>41294</v>
      </c>
      <c r="S245" s="2">
        <f t="shared" ca="1" si="18"/>
        <v>13.205479452054794</v>
      </c>
      <c r="T245" s="2" t="str">
        <f t="shared" ca="1" si="19"/>
        <v>10+ Years</v>
      </c>
      <c r="U245" t="s">
        <v>34</v>
      </c>
      <c r="V245" t="s">
        <v>35</v>
      </c>
      <c r="W245" t="s">
        <v>44</v>
      </c>
      <c r="X245" t="s">
        <v>102</v>
      </c>
      <c r="Y245" t="s">
        <v>46</v>
      </c>
      <c r="Z245" t="s">
        <v>47</v>
      </c>
      <c r="AA245">
        <v>3.6</v>
      </c>
      <c r="AB245">
        <v>5</v>
      </c>
      <c r="AC245">
        <v>7</v>
      </c>
      <c r="AD245" s="1">
        <v>43514</v>
      </c>
      <c r="AE245">
        <v>0</v>
      </c>
      <c r="AF245">
        <v>13</v>
      </c>
    </row>
    <row r="246" spans="1:32" x14ac:dyDescent="0.3">
      <c r="A246" t="s">
        <v>411</v>
      </c>
      <c r="B246">
        <v>5</v>
      </c>
      <c r="C246">
        <v>3</v>
      </c>
      <c r="D246">
        <v>148999</v>
      </c>
      <c r="E246" t="str">
        <f t="shared" si="15"/>
        <v>High</v>
      </c>
      <c r="F246">
        <v>1</v>
      </c>
      <c r="G246" t="str">
        <f t="shared" si="16"/>
        <v>Yes</v>
      </c>
      <c r="H246" t="s">
        <v>158</v>
      </c>
      <c r="I246" t="s">
        <v>28</v>
      </c>
      <c r="J246" s="1">
        <v>23380</v>
      </c>
      <c r="K246" s="2">
        <f t="shared" ca="1" si="17"/>
        <v>62</v>
      </c>
      <c r="L246" t="s">
        <v>29</v>
      </c>
      <c r="M246" t="s">
        <v>53</v>
      </c>
      <c r="N246" t="s">
        <v>31</v>
      </c>
      <c r="O246" t="s">
        <v>32</v>
      </c>
      <c r="P246" t="s">
        <v>64</v>
      </c>
      <c r="Q246" s="1">
        <v>40917</v>
      </c>
      <c r="R246" s="1">
        <v>42312</v>
      </c>
      <c r="S246" s="2">
        <f t="shared" ca="1" si="18"/>
        <v>3.8219178082191783</v>
      </c>
      <c r="T246" s="2" t="str">
        <f t="shared" ca="1" si="19"/>
        <v>3-5 Years</v>
      </c>
      <c r="U246" t="s">
        <v>50</v>
      </c>
      <c r="V246" t="s">
        <v>43</v>
      </c>
      <c r="W246" t="s">
        <v>44</v>
      </c>
      <c r="X246" t="s">
        <v>102</v>
      </c>
      <c r="Y246" t="s">
        <v>66</v>
      </c>
      <c r="Z246" t="s">
        <v>47</v>
      </c>
      <c r="AA246">
        <v>4.3</v>
      </c>
      <c r="AB246">
        <v>4</v>
      </c>
      <c r="AC246">
        <v>6</v>
      </c>
      <c r="AD246" s="1">
        <v>42008</v>
      </c>
      <c r="AE246">
        <v>0</v>
      </c>
      <c r="AF246">
        <v>8</v>
      </c>
    </row>
    <row r="247" spans="1:32" x14ac:dyDescent="0.3">
      <c r="A247" t="s">
        <v>412</v>
      </c>
      <c r="B247">
        <v>1</v>
      </c>
      <c r="C247">
        <v>4</v>
      </c>
      <c r="D247">
        <v>86214</v>
      </c>
      <c r="E247" t="str">
        <f t="shared" si="15"/>
        <v>High</v>
      </c>
      <c r="F247">
        <v>0</v>
      </c>
      <c r="G247" t="str">
        <f t="shared" si="16"/>
        <v>No</v>
      </c>
      <c r="H247" t="s">
        <v>58</v>
      </c>
      <c r="I247" t="s">
        <v>28</v>
      </c>
      <c r="J247" s="1">
        <v>31617</v>
      </c>
      <c r="K247" s="2">
        <f t="shared" ca="1" si="17"/>
        <v>40</v>
      </c>
      <c r="L247" t="s">
        <v>49</v>
      </c>
      <c r="M247" t="s">
        <v>41</v>
      </c>
      <c r="N247" t="s">
        <v>31</v>
      </c>
      <c r="O247" t="s">
        <v>32</v>
      </c>
      <c r="P247" t="s">
        <v>33</v>
      </c>
      <c r="Q247" s="1">
        <v>41218</v>
      </c>
      <c r="S247" s="2">
        <f t="shared" ca="1" si="18"/>
        <v>13.413698630136986</v>
      </c>
      <c r="T247" s="2" t="str">
        <f t="shared" ca="1" si="19"/>
        <v>10+ Years</v>
      </c>
      <c r="U247" t="s">
        <v>34</v>
      </c>
      <c r="V247" t="s">
        <v>35</v>
      </c>
      <c r="W247" t="s">
        <v>59</v>
      </c>
      <c r="X247" t="s">
        <v>60</v>
      </c>
      <c r="Y247" t="s">
        <v>46</v>
      </c>
      <c r="Z247" t="s">
        <v>47</v>
      </c>
      <c r="AA247">
        <v>4.2</v>
      </c>
      <c r="AB247">
        <v>3</v>
      </c>
      <c r="AC247">
        <v>6</v>
      </c>
      <c r="AD247" s="1">
        <v>43509</v>
      </c>
      <c r="AE247">
        <v>0</v>
      </c>
      <c r="AF247">
        <v>2</v>
      </c>
    </row>
    <row r="248" spans="1:32" x14ac:dyDescent="0.3">
      <c r="A248" t="s">
        <v>413</v>
      </c>
      <c r="B248">
        <v>2</v>
      </c>
      <c r="C248">
        <v>5</v>
      </c>
      <c r="D248">
        <v>47750</v>
      </c>
      <c r="E248" t="str">
        <f t="shared" si="15"/>
        <v>Medium</v>
      </c>
      <c r="F248">
        <v>0</v>
      </c>
      <c r="G248" t="str">
        <f t="shared" si="16"/>
        <v>No</v>
      </c>
      <c r="H248" t="s">
        <v>27</v>
      </c>
      <c r="I248" t="s">
        <v>28</v>
      </c>
      <c r="J248" s="1">
        <v>24995</v>
      </c>
      <c r="K248" s="2">
        <f t="shared" ca="1" si="17"/>
        <v>58</v>
      </c>
      <c r="L248" t="s">
        <v>49</v>
      </c>
      <c r="M248" t="s">
        <v>30</v>
      </c>
      <c r="N248" t="s">
        <v>31</v>
      </c>
      <c r="O248" t="s">
        <v>32</v>
      </c>
      <c r="P248" t="s">
        <v>64</v>
      </c>
      <c r="Q248" s="1">
        <v>42555</v>
      </c>
      <c r="S248" s="2">
        <f t="shared" ca="1" si="18"/>
        <v>9.75068493150685</v>
      </c>
      <c r="T248" s="2" t="str">
        <f t="shared" ca="1" si="19"/>
        <v>6-10 Years</v>
      </c>
      <c r="U248" t="s">
        <v>34</v>
      </c>
      <c r="V248" t="s">
        <v>35</v>
      </c>
      <c r="W248" t="s">
        <v>36</v>
      </c>
      <c r="X248" t="s">
        <v>76</v>
      </c>
      <c r="Y248" t="s">
        <v>66</v>
      </c>
      <c r="Z248" t="s">
        <v>85</v>
      </c>
      <c r="AA248">
        <v>2.6</v>
      </c>
      <c r="AB248">
        <v>4</v>
      </c>
      <c r="AC248">
        <v>0</v>
      </c>
      <c r="AD248" s="1">
        <v>43514</v>
      </c>
      <c r="AE248">
        <v>5</v>
      </c>
      <c r="AF248">
        <v>4</v>
      </c>
    </row>
    <row r="249" spans="1:32" x14ac:dyDescent="0.3">
      <c r="A249" t="s">
        <v>414</v>
      </c>
      <c r="B249">
        <v>5</v>
      </c>
      <c r="C249">
        <v>5</v>
      </c>
      <c r="D249">
        <v>46428</v>
      </c>
      <c r="E249" t="str">
        <f t="shared" si="15"/>
        <v>Medium</v>
      </c>
      <c r="F249">
        <v>1</v>
      </c>
      <c r="G249" t="str">
        <f t="shared" si="16"/>
        <v>Yes</v>
      </c>
      <c r="H249" t="s">
        <v>27</v>
      </c>
      <c r="I249" t="s">
        <v>28</v>
      </c>
      <c r="J249" s="1">
        <v>27384</v>
      </c>
      <c r="K249" s="2">
        <f t="shared" ca="1" si="17"/>
        <v>52</v>
      </c>
      <c r="L249" t="s">
        <v>29</v>
      </c>
      <c r="M249" t="s">
        <v>30</v>
      </c>
      <c r="N249" t="s">
        <v>31</v>
      </c>
      <c r="O249" t="s">
        <v>32</v>
      </c>
      <c r="P249" t="s">
        <v>33</v>
      </c>
      <c r="Q249" s="1">
        <v>39818</v>
      </c>
      <c r="R249" s="1">
        <v>43311</v>
      </c>
      <c r="S249" s="2">
        <f t="shared" ca="1" si="18"/>
        <v>9.5698630136986296</v>
      </c>
      <c r="T249" s="2" t="str">
        <f t="shared" ca="1" si="19"/>
        <v>6-10 Years</v>
      </c>
      <c r="U249" t="s">
        <v>106</v>
      </c>
      <c r="V249" t="s">
        <v>43</v>
      </c>
      <c r="W249" t="s">
        <v>36</v>
      </c>
      <c r="X249" t="s">
        <v>37</v>
      </c>
      <c r="Y249" t="s">
        <v>56</v>
      </c>
      <c r="Z249" t="s">
        <v>47</v>
      </c>
      <c r="AA249">
        <v>4.5999999999999996</v>
      </c>
      <c r="AB249">
        <v>5</v>
      </c>
      <c r="AC249">
        <v>0</v>
      </c>
      <c r="AD249" s="1">
        <v>43136</v>
      </c>
      <c r="AE249">
        <v>0</v>
      </c>
      <c r="AF249">
        <v>7</v>
      </c>
    </row>
    <row r="250" spans="1:32" x14ac:dyDescent="0.3">
      <c r="A250" t="s">
        <v>415</v>
      </c>
      <c r="B250">
        <v>1</v>
      </c>
      <c r="C250">
        <v>5</v>
      </c>
      <c r="D250">
        <v>57975</v>
      </c>
      <c r="E250" t="str">
        <f t="shared" si="15"/>
        <v>Medium</v>
      </c>
      <c r="F250">
        <v>0</v>
      </c>
      <c r="G250" t="str">
        <f t="shared" si="16"/>
        <v>No</v>
      </c>
      <c r="H250" t="s">
        <v>48</v>
      </c>
      <c r="I250" t="s">
        <v>28</v>
      </c>
      <c r="J250" s="1">
        <v>31528</v>
      </c>
      <c r="K250" s="2">
        <f t="shared" ca="1" si="17"/>
        <v>40</v>
      </c>
      <c r="L250" t="s">
        <v>29</v>
      </c>
      <c r="M250" t="s">
        <v>41</v>
      </c>
      <c r="N250" t="s">
        <v>31</v>
      </c>
      <c r="O250" t="s">
        <v>32</v>
      </c>
      <c r="P250" t="s">
        <v>33</v>
      </c>
      <c r="Q250" s="1">
        <v>40420</v>
      </c>
      <c r="S250" s="2">
        <f t="shared" ca="1" si="18"/>
        <v>15.6</v>
      </c>
      <c r="T250" s="2" t="str">
        <f t="shared" ca="1" si="19"/>
        <v>10+ Years</v>
      </c>
      <c r="U250" t="s">
        <v>34</v>
      </c>
      <c r="V250" t="s">
        <v>35</v>
      </c>
      <c r="W250" t="s">
        <v>36</v>
      </c>
      <c r="X250" t="s">
        <v>76</v>
      </c>
      <c r="Y250" t="s">
        <v>84</v>
      </c>
      <c r="Z250" t="s">
        <v>47</v>
      </c>
      <c r="AA250">
        <v>4.0999999999999996</v>
      </c>
      <c r="AB250">
        <v>3</v>
      </c>
      <c r="AC250">
        <v>0</v>
      </c>
      <c r="AD250" s="1">
        <v>43475</v>
      </c>
      <c r="AE250">
        <v>0</v>
      </c>
      <c r="AF250">
        <v>13</v>
      </c>
    </row>
    <row r="251" spans="1:32" x14ac:dyDescent="0.3">
      <c r="A251" t="s">
        <v>416</v>
      </c>
      <c r="B251">
        <v>5</v>
      </c>
      <c r="C251">
        <v>3</v>
      </c>
      <c r="D251">
        <v>88527</v>
      </c>
      <c r="E251" t="str">
        <f t="shared" si="15"/>
        <v>High</v>
      </c>
      <c r="F251">
        <v>1</v>
      </c>
      <c r="G251" t="str">
        <f t="shared" si="16"/>
        <v>Yes</v>
      </c>
      <c r="H251" t="s">
        <v>159</v>
      </c>
      <c r="I251" t="s">
        <v>28</v>
      </c>
      <c r="J251" s="1">
        <v>32128</v>
      </c>
      <c r="K251" s="2">
        <f t="shared" ca="1" si="17"/>
        <v>39</v>
      </c>
      <c r="L251" t="s">
        <v>29</v>
      </c>
      <c r="M251" t="s">
        <v>53</v>
      </c>
      <c r="N251" t="s">
        <v>31</v>
      </c>
      <c r="O251" t="s">
        <v>32</v>
      </c>
      <c r="P251" t="s">
        <v>64</v>
      </c>
      <c r="Q251" s="1">
        <v>42009</v>
      </c>
      <c r="R251" s="1">
        <v>42308</v>
      </c>
      <c r="S251" s="2">
        <f t="shared" ca="1" si="18"/>
        <v>0.81917808219178079</v>
      </c>
      <c r="T251" s="2" t="str">
        <f t="shared" ca="1" si="19"/>
        <v>0-2 Years</v>
      </c>
      <c r="U251" t="s">
        <v>50</v>
      </c>
      <c r="V251" t="s">
        <v>43</v>
      </c>
      <c r="W251" t="s">
        <v>44</v>
      </c>
      <c r="X251" t="s">
        <v>45</v>
      </c>
      <c r="Y251" t="s">
        <v>38</v>
      </c>
      <c r="Z251" t="s">
        <v>47</v>
      </c>
      <c r="AA251">
        <v>4.2</v>
      </c>
      <c r="AB251">
        <v>3</v>
      </c>
      <c r="AC251">
        <v>5</v>
      </c>
      <c r="AD251" s="1">
        <v>42114</v>
      </c>
      <c r="AE251">
        <v>0</v>
      </c>
      <c r="AF251">
        <v>2</v>
      </c>
    </row>
    <row r="252" spans="1:32" x14ac:dyDescent="0.3">
      <c r="A252" t="s">
        <v>417</v>
      </c>
      <c r="B252">
        <v>1</v>
      </c>
      <c r="C252">
        <v>5</v>
      </c>
      <c r="D252">
        <v>56147</v>
      </c>
      <c r="E252" t="str">
        <f t="shared" si="15"/>
        <v>Medium</v>
      </c>
      <c r="F252">
        <v>0</v>
      </c>
      <c r="G252" t="str">
        <f t="shared" si="16"/>
        <v>No</v>
      </c>
      <c r="H252" t="s">
        <v>27</v>
      </c>
      <c r="I252" t="s">
        <v>28</v>
      </c>
      <c r="J252" s="1">
        <v>32334</v>
      </c>
      <c r="K252" s="2">
        <f t="shared" ca="1" si="17"/>
        <v>38</v>
      </c>
      <c r="L252" t="s">
        <v>49</v>
      </c>
      <c r="M252" t="s">
        <v>41</v>
      </c>
      <c r="N252" t="s">
        <v>31</v>
      </c>
      <c r="O252" t="s">
        <v>32</v>
      </c>
      <c r="P252" t="s">
        <v>64</v>
      </c>
      <c r="Q252" s="1">
        <v>41911</v>
      </c>
      <c r="S252" s="2">
        <f t="shared" ca="1" si="18"/>
        <v>11.515068493150684</v>
      </c>
      <c r="T252" s="2" t="str">
        <f t="shared" ca="1" si="19"/>
        <v>10+ Years</v>
      </c>
      <c r="U252" t="s">
        <v>34</v>
      </c>
      <c r="V252" t="s">
        <v>35</v>
      </c>
      <c r="W252" t="s">
        <v>36</v>
      </c>
      <c r="X252" t="s">
        <v>52</v>
      </c>
      <c r="Y252" t="s">
        <v>38</v>
      </c>
      <c r="Z252" t="s">
        <v>47</v>
      </c>
      <c r="AA252">
        <v>3.51</v>
      </c>
      <c r="AB252">
        <v>3</v>
      </c>
      <c r="AC252">
        <v>0</v>
      </c>
      <c r="AD252" s="1">
        <v>43514</v>
      </c>
      <c r="AE252">
        <v>0</v>
      </c>
      <c r="AF252">
        <v>2</v>
      </c>
    </row>
    <row r="253" spans="1:32" x14ac:dyDescent="0.3">
      <c r="A253" t="s">
        <v>418</v>
      </c>
      <c r="B253">
        <v>3</v>
      </c>
      <c r="C253">
        <v>5</v>
      </c>
      <c r="D253">
        <v>50923</v>
      </c>
      <c r="E253" t="str">
        <f t="shared" si="15"/>
        <v>Medium</v>
      </c>
      <c r="F253">
        <v>0</v>
      </c>
      <c r="G253" t="str">
        <f t="shared" si="16"/>
        <v>No</v>
      </c>
      <c r="H253" t="s">
        <v>27</v>
      </c>
      <c r="I253" t="s">
        <v>28</v>
      </c>
      <c r="J253" s="1">
        <v>27463</v>
      </c>
      <c r="K253" s="2">
        <f t="shared" ca="1" si="17"/>
        <v>51</v>
      </c>
      <c r="L253" t="s">
        <v>49</v>
      </c>
      <c r="M253" t="s">
        <v>30</v>
      </c>
      <c r="N253" t="s">
        <v>31</v>
      </c>
      <c r="O253" t="s">
        <v>32</v>
      </c>
      <c r="P253" t="s">
        <v>83</v>
      </c>
      <c r="Q253" s="1">
        <v>41547</v>
      </c>
      <c r="S253" s="2">
        <f t="shared" ca="1" si="18"/>
        <v>12.512328767123288</v>
      </c>
      <c r="T253" s="2" t="str">
        <f t="shared" ca="1" si="19"/>
        <v>10+ Years</v>
      </c>
      <c r="U253" t="s">
        <v>34</v>
      </c>
      <c r="V253" t="s">
        <v>35</v>
      </c>
      <c r="W253" t="s">
        <v>36</v>
      </c>
      <c r="X253" t="s">
        <v>55</v>
      </c>
      <c r="Y253" t="s">
        <v>56</v>
      </c>
      <c r="Z253" t="s">
        <v>47</v>
      </c>
      <c r="AA253">
        <v>5</v>
      </c>
      <c r="AB253">
        <v>5</v>
      </c>
      <c r="AC253">
        <v>0</v>
      </c>
      <c r="AD253" s="1">
        <v>43502</v>
      </c>
      <c r="AE253">
        <v>0</v>
      </c>
      <c r="AF253">
        <v>14</v>
      </c>
    </row>
    <row r="254" spans="1:32" x14ac:dyDescent="0.3">
      <c r="A254" t="s">
        <v>419</v>
      </c>
      <c r="B254">
        <v>1</v>
      </c>
      <c r="C254">
        <v>3</v>
      </c>
      <c r="D254">
        <v>50750</v>
      </c>
      <c r="E254" t="str">
        <f t="shared" si="15"/>
        <v>Medium</v>
      </c>
      <c r="F254">
        <v>0</v>
      </c>
      <c r="G254" t="str">
        <f t="shared" si="16"/>
        <v>No</v>
      </c>
      <c r="H254" t="s">
        <v>124</v>
      </c>
      <c r="I254" t="s">
        <v>28</v>
      </c>
      <c r="J254" s="1">
        <v>29690</v>
      </c>
      <c r="K254" s="2">
        <f t="shared" ca="1" si="17"/>
        <v>45</v>
      </c>
      <c r="L254" t="s">
        <v>49</v>
      </c>
      <c r="M254" t="s">
        <v>41</v>
      </c>
      <c r="N254" t="s">
        <v>31</v>
      </c>
      <c r="O254" t="s">
        <v>32</v>
      </c>
      <c r="P254" t="s">
        <v>33</v>
      </c>
      <c r="Q254" s="1">
        <v>41912</v>
      </c>
      <c r="S254" s="2">
        <f t="shared" ca="1" si="18"/>
        <v>11.512328767123288</v>
      </c>
      <c r="T254" s="2" t="str">
        <f t="shared" ca="1" si="19"/>
        <v>10+ Years</v>
      </c>
      <c r="U254" t="s">
        <v>34</v>
      </c>
      <c r="V254" t="s">
        <v>35</v>
      </c>
      <c r="W254" t="s">
        <v>44</v>
      </c>
      <c r="X254" t="s">
        <v>68</v>
      </c>
      <c r="Y254" t="s">
        <v>38</v>
      </c>
      <c r="Z254" t="s">
        <v>47</v>
      </c>
      <c r="AA254">
        <v>3.31</v>
      </c>
      <c r="AB254">
        <v>3</v>
      </c>
      <c r="AC254">
        <v>6</v>
      </c>
      <c r="AD254" s="1">
        <v>43472</v>
      </c>
      <c r="AE254">
        <v>0</v>
      </c>
      <c r="AF254">
        <v>7</v>
      </c>
    </row>
    <row r="255" spans="1:32" x14ac:dyDescent="0.3">
      <c r="A255" t="s">
        <v>420</v>
      </c>
      <c r="B255">
        <v>1</v>
      </c>
      <c r="C255">
        <v>5</v>
      </c>
      <c r="D255">
        <v>52087</v>
      </c>
      <c r="E255" t="str">
        <f t="shared" si="15"/>
        <v>Medium</v>
      </c>
      <c r="F255">
        <v>0</v>
      </c>
      <c r="G255" t="str">
        <f t="shared" si="16"/>
        <v>No</v>
      </c>
      <c r="H255" t="s">
        <v>27</v>
      </c>
      <c r="I255" t="s">
        <v>28</v>
      </c>
      <c r="J255" s="1">
        <v>31283</v>
      </c>
      <c r="K255" s="2">
        <f t="shared" ca="1" si="17"/>
        <v>41</v>
      </c>
      <c r="L255" t="s">
        <v>49</v>
      </c>
      <c r="M255" t="s">
        <v>41</v>
      </c>
      <c r="N255" t="s">
        <v>31</v>
      </c>
      <c r="O255" t="s">
        <v>32</v>
      </c>
      <c r="P255" t="s">
        <v>33</v>
      </c>
      <c r="Q255" s="1">
        <v>41505</v>
      </c>
      <c r="S255" s="2">
        <f t="shared" ca="1" si="18"/>
        <v>12.627397260273973</v>
      </c>
      <c r="T255" s="2" t="str">
        <f t="shared" ca="1" si="19"/>
        <v>10+ Years</v>
      </c>
      <c r="U255" t="s">
        <v>34</v>
      </c>
      <c r="V255" t="s">
        <v>35</v>
      </c>
      <c r="W255" t="s">
        <v>36</v>
      </c>
      <c r="X255" t="s">
        <v>57</v>
      </c>
      <c r="Y255" t="s">
        <v>38</v>
      </c>
      <c r="Z255" t="s">
        <v>47</v>
      </c>
      <c r="AA255">
        <v>4.8099999999999996</v>
      </c>
      <c r="AB255">
        <v>4</v>
      </c>
      <c r="AC255">
        <v>0</v>
      </c>
      <c r="AD255" s="1">
        <v>43511</v>
      </c>
      <c r="AE255">
        <v>0</v>
      </c>
      <c r="AF255">
        <v>15</v>
      </c>
    </row>
    <row r="256" spans="1:32" x14ac:dyDescent="0.3">
      <c r="A256" t="s">
        <v>421</v>
      </c>
      <c r="B256">
        <v>1</v>
      </c>
      <c r="C256">
        <v>3</v>
      </c>
      <c r="D256">
        <v>87826</v>
      </c>
      <c r="E256" t="str">
        <f t="shared" si="15"/>
        <v>High</v>
      </c>
      <c r="F256">
        <v>0</v>
      </c>
      <c r="G256" t="str">
        <f t="shared" si="16"/>
        <v>No</v>
      </c>
      <c r="H256" t="s">
        <v>73</v>
      </c>
      <c r="I256" t="s">
        <v>28</v>
      </c>
      <c r="J256" s="1">
        <v>25607</v>
      </c>
      <c r="K256" s="2">
        <f t="shared" ca="1" si="17"/>
        <v>56</v>
      </c>
      <c r="L256" t="s">
        <v>29</v>
      </c>
      <c r="M256" t="s">
        <v>41</v>
      </c>
      <c r="N256" t="s">
        <v>31</v>
      </c>
      <c r="O256" t="s">
        <v>69</v>
      </c>
      <c r="P256" t="s">
        <v>33</v>
      </c>
      <c r="Q256" s="1">
        <v>42009</v>
      </c>
      <c r="S256" s="2">
        <f t="shared" ca="1" si="18"/>
        <v>11.246575342465754</v>
      </c>
      <c r="T256" s="2" t="str">
        <f t="shared" ca="1" si="19"/>
        <v>10+ Years</v>
      </c>
      <c r="U256" t="s">
        <v>34</v>
      </c>
      <c r="V256" t="s">
        <v>35</v>
      </c>
      <c r="W256" t="s">
        <v>44</v>
      </c>
      <c r="X256" t="s">
        <v>45</v>
      </c>
      <c r="Y256" t="s">
        <v>63</v>
      </c>
      <c r="Z256" t="s">
        <v>47</v>
      </c>
      <c r="AA256">
        <v>3.32</v>
      </c>
      <c r="AB256">
        <v>3</v>
      </c>
      <c r="AC256">
        <v>7</v>
      </c>
      <c r="AD256" s="1">
        <v>43479</v>
      </c>
      <c r="AE256">
        <v>0</v>
      </c>
      <c r="AF256">
        <v>16</v>
      </c>
    </row>
    <row r="257" spans="1:32" x14ac:dyDescent="0.3">
      <c r="A257" t="s">
        <v>422</v>
      </c>
      <c r="B257">
        <v>1</v>
      </c>
      <c r="C257">
        <v>1</v>
      </c>
      <c r="D257">
        <v>51920</v>
      </c>
      <c r="E257" t="str">
        <f t="shared" si="15"/>
        <v>Medium</v>
      </c>
      <c r="F257">
        <v>0</v>
      </c>
      <c r="G257" t="str">
        <f t="shared" si="16"/>
        <v>No</v>
      </c>
      <c r="H257" t="s">
        <v>137</v>
      </c>
      <c r="I257" t="s">
        <v>28</v>
      </c>
      <c r="J257" s="1">
        <v>32282</v>
      </c>
      <c r="K257" s="2">
        <f t="shared" ca="1" si="17"/>
        <v>38</v>
      </c>
      <c r="L257" t="s">
        <v>49</v>
      </c>
      <c r="M257" t="s">
        <v>30</v>
      </c>
      <c r="N257" t="s">
        <v>31</v>
      </c>
      <c r="O257" t="s">
        <v>32</v>
      </c>
      <c r="P257" t="s">
        <v>33</v>
      </c>
      <c r="Q257" s="1">
        <v>42125</v>
      </c>
      <c r="S257" s="2">
        <f t="shared" ca="1" si="18"/>
        <v>10.92876712328767</v>
      </c>
      <c r="T257" s="2" t="str">
        <f t="shared" ca="1" si="19"/>
        <v>10+ Years</v>
      </c>
      <c r="U257" t="s">
        <v>34</v>
      </c>
      <c r="V257" t="s">
        <v>35</v>
      </c>
      <c r="W257" t="s">
        <v>90</v>
      </c>
      <c r="X257" t="s">
        <v>91</v>
      </c>
      <c r="Y257" t="s">
        <v>119</v>
      </c>
      <c r="Z257" t="s">
        <v>47</v>
      </c>
      <c r="AA257">
        <v>5</v>
      </c>
      <c r="AB257">
        <v>3</v>
      </c>
      <c r="AC257">
        <v>5</v>
      </c>
      <c r="AD257" s="1">
        <v>43480</v>
      </c>
      <c r="AE257">
        <v>0</v>
      </c>
      <c r="AF257">
        <v>2</v>
      </c>
    </row>
    <row r="258" spans="1:32" x14ac:dyDescent="0.3">
      <c r="A258" t="s">
        <v>423</v>
      </c>
      <c r="B258">
        <v>5</v>
      </c>
      <c r="C258">
        <v>5</v>
      </c>
      <c r="D258">
        <v>63878</v>
      </c>
      <c r="E258" t="str">
        <f t="shared" si="15"/>
        <v>High</v>
      </c>
      <c r="F258">
        <v>1</v>
      </c>
      <c r="G258" t="str">
        <f t="shared" si="16"/>
        <v>Yes</v>
      </c>
      <c r="H258" t="s">
        <v>48</v>
      </c>
      <c r="I258" t="s">
        <v>28</v>
      </c>
      <c r="J258" s="1">
        <v>32106</v>
      </c>
      <c r="K258" s="2">
        <f t="shared" ca="1" si="17"/>
        <v>39</v>
      </c>
      <c r="L258" t="s">
        <v>49</v>
      </c>
      <c r="M258" t="s">
        <v>30</v>
      </c>
      <c r="N258" t="s">
        <v>31</v>
      </c>
      <c r="O258" t="s">
        <v>32</v>
      </c>
      <c r="P258" t="s">
        <v>33</v>
      </c>
      <c r="Q258" s="1">
        <v>40112</v>
      </c>
      <c r="R258" s="1">
        <v>42102</v>
      </c>
      <c r="S258" s="2">
        <f t="shared" ca="1" si="18"/>
        <v>5.4520547945205475</v>
      </c>
      <c r="T258" s="2" t="str">
        <f t="shared" ca="1" si="19"/>
        <v>6-10 Years</v>
      </c>
      <c r="U258" t="s">
        <v>139</v>
      </c>
      <c r="V258" t="s">
        <v>43</v>
      </c>
      <c r="W258" t="s">
        <v>36</v>
      </c>
      <c r="X258" t="s">
        <v>37</v>
      </c>
      <c r="Y258" t="s">
        <v>84</v>
      </c>
      <c r="Z258" t="s">
        <v>47</v>
      </c>
      <c r="AA258">
        <v>4.68</v>
      </c>
      <c r="AB258">
        <v>4</v>
      </c>
      <c r="AC258">
        <v>0</v>
      </c>
      <c r="AD258" s="1">
        <v>42096</v>
      </c>
      <c r="AE258">
        <v>0</v>
      </c>
      <c r="AF258">
        <v>20</v>
      </c>
    </row>
    <row r="259" spans="1:32" x14ac:dyDescent="0.3">
      <c r="A259" t="s">
        <v>424</v>
      </c>
      <c r="B259">
        <v>1</v>
      </c>
      <c r="C259">
        <v>5</v>
      </c>
      <c r="D259">
        <v>60656</v>
      </c>
      <c r="E259" t="str">
        <f t="shared" ref="E259:E312" si="20">IF(D259&lt;30000,"Low",IF(D259&lt;60000,"Medium", "High"))</f>
        <v>High</v>
      </c>
      <c r="F259">
        <v>0</v>
      </c>
      <c r="G259" t="str">
        <f t="shared" ref="G259:G312" si="21">IF(F259=1,"Yes", "No")</f>
        <v>No</v>
      </c>
      <c r="H259" t="s">
        <v>48</v>
      </c>
      <c r="I259" t="s">
        <v>28</v>
      </c>
      <c r="J259" s="1">
        <v>23314</v>
      </c>
      <c r="K259" s="2">
        <f t="shared" ref="K259:K312" ca="1" si="22">YEAR(TODAY())-YEAR(J259)</f>
        <v>63</v>
      </c>
      <c r="L259" t="s">
        <v>29</v>
      </c>
      <c r="M259" t="s">
        <v>30</v>
      </c>
      <c r="N259" t="s">
        <v>31</v>
      </c>
      <c r="O259" t="s">
        <v>32</v>
      </c>
      <c r="P259" t="s">
        <v>33</v>
      </c>
      <c r="Q259" s="1">
        <v>41911</v>
      </c>
      <c r="S259" s="2">
        <f t="shared" ref="S259:S312" ca="1" si="23">IF(ISBLANK(R259), (TODAY()-Q259)/365,(R259-Q259)/365)</f>
        <v>11.515068493150684</v>
      </c>
      <c r="T259" s="2" t="str">
        <f t="shared" ref="T259:T312" ca="1" si="24">IF(S259&lt;=2,"0-2 Years", IF(S259&lt;=5,"3-5 Years", IF(S259&lt;=10,"6-10 Years", "10+ Years")))</f>
        <v>10+ Years</v>
      </c>
      <c r="U259" t="s">
        <v>34</v>
      </c>
      <c r="V259" t="s">
        <v>35</v>
      </c>
      <c r="W259" t="s">
        <v>36</v>
      </c>
      <c r="X259" t="s">
        <v>52</v>
      </c>
      <c r="Y259" t="s">
        <v>46</v>
      </c>
      <c r="Z259" t="s">
        <v>39</v>
      </c>
      <c r="AA259">
        <v>4.3</v>
      </c>
      <c r="AB259">
        <v>3</v>
      </c>
      <c r="AC259">
        <v>0</v>
      </c>
      <c r="AD259" s="1">
        <v>43493</v>
      </c>
      <c r="AE259">
        <v>0</v>
      </c>
      <c r="AF259">
        <v>4</v>
      </c>
    </row>
    <row r="260" spans="1:32" x14ac:dyDescent="0.3">
      <c r="A260" t="s">
        <v>425</v>
      </c>
      <c r="B260">
        <v>1</v>
      </c>
      <c r="C260">
        <v>6</v>
      </c>
      <c r="D260">
        <v>72992</v>
      </c>
      <c r="E260" t="str">
        <f t="shared" si="20"/>
        <v>High</v>
      </c>
      <c r="F260">
        <v>0</v>
      </c>
      <c r="G260" t="str">
        <f t="shared" si="21"/>
        <v>No</v>
      </c>
      <c r="H260" t="s">
        <v>111</v>
      </c>
      <c r="I260" t="s">
        <v>28</v>
      </c>
      <c r="J260" s="1">
        <v>30910</v>
      </c>
      <c r="K260" s="2">
        <f t="shared" ca="1" si="22"/>
        <v>42</v>
      </c>
      <c r="L260" t="s">
        <v>29</v>
      </c>
      <c r="M260" t="s">
        <v>53</v>
      </c>
      <c r="N260" t="s">
        <v>31</v>
      </c>
      <c r="O260" t="s">
        <v>32</v>
      </c>
      <c r="P260" t="s">
        <v>64</v>
      </c>
      <c r="Q260" s="1">
        <v>41777</v>
      </c>
      <c r="S260" s="2">
        <f t="shared" ca="1" si="23"/>
        <v>11.882191780821918</v>
      </c>
      <c r="T260" s="2" t="str">
        <f t="shared" ca="1" si="24"/>
        <v>10+ Years</v>
      </c>
      <c r="U260" t="s">
        <v>34</v>
      </c>
      <c r="V260" t="s">
        <v>35</v>
      </c>
      <c r="W260" t="s">
        <v>99</v>
      </c>
      <c r="X260" t="s">
        <v>112</v>
      </c>
      <c r="Y260" t="s">
        <v>66</v>
      </c>
      <c r="Z260" t="s">
        <v>85</v>
      </c>
      <c r="AA260">
        <v>2.4</v>
      </c>
      <c r="AB260">
        <v>4</v>
      </c>
      <c r="AC260">
        <v>0</v>
      </c>
      <c r="AD260" s="1">
        <v>43481</v>
      </c>
      <c r="AE260">
        <v>2</v>
      </c>
      <c r="AF260">
        <v>16</v>
      </c>
    </row>
    <row r="261" spans="1:32" x14ac:dyDescent="0.3">
      <c r="A261" t="s">
        <v>426</v>
      </c>
      <c r="B261">
        <v>5</v>
      </c>
      <c r="C261">
        <v>1</v>
      </c>
      <c r="D261">
        <v>55000</v>
      </c>
      <c r="E261" t="str">
        <f t="shared" si="20"/>
        <v>Medium</v>
      </c>
      <c r="F261">
        <v>1</v>
      </c>
      <c r="G261" t="str">
        <f t="shared" si="21"/>
        <v>Yes</v>
      </c>
      <c r="H261" t="s">
        <v>137</v>
      </c>
      <c r="I261" t="s">
        <v>28</v>
      </c>
      <c r="J261" s="1">
        <v>31942</v>
      </c>
      <c r="K261" s="2">
        <f t="shared" ca="1" si="22"/>
        <v>39</v>
      </c>
      <c r="L261" t="s">
        <v>49</v>
      </c>
      <c r="M261" t="s">
        <v>41</v>
      </c>
      <c r="N261" t="s">
        <v>31</v>
      </c>
      <c r="O261" t="s">
        <v>32</v>
      </c>
      <c r="P261" t="s">
        <v>64</v>
      </c>
      <c r="Q261" s="1">
        <v>40812</v>
      </c>
      <c r="R261" s="1">
        <v>41542</v>
      </c>
      <c r="S261" s="2">
        <f t="shared" ca="1" si="23"/>
        <v>2</v>
      </c>
      <c r="T261" s="2" t="str">
        <f t="shared" ca="1" si="24"/>
        <v>0-2 Years</v>
      </c>
      <c r="U261" t="s">
        <v>42</v>
      </c>
      <c r="V261" t="s">
        <v>43</v>
      </c>
      <c r="W261" t="s">
        <v>90</v>
      </c>
      <c r="X261" t="s">
        <v>91</v>
      </c>
      <c r="Y261" t="s">
        <v>66</v>
      </c>
      <c r="Z261" t="s">
        <v>47</v>
      </c>
      <c r="AA261">
        <v>3.8</v>
      </c>
      <c r="AB261">
        <v>4</v>
      </c>
      <c r="AC261">
        <v>4</v>
      </c>
      <c r="AD261" s="1">
        <v>41501</v>
      </c>
      <c r="AE261">
        <v>0</v>
      </c>
      <c r="AF261">
        <v>17</v>
      </c>
    </row>
    <row r="262" spans="1:32" x14ac:dyDescent="0.3">
      <c r="A262" t="s">
        <v>427</v>
      </c>
      <c r="B262">
        <v>1</v>
      </c>
      <c r="C262">
        <v>5</v>
      </c>
      <c r="D262">
        <v>58939</v>
      </c>
      <c r="E262" t="str">
        <f t="shared" si="20"/>
        <v>Medium</v>
      </c>
      <c r="F262">
        <v>0</v>
      </c>
      <c r="G262" t="str">
        <f t="shared" si="21"/>
        <v>No</v>
      </c>
      <c r="H262" t="s">
        <v>27</v>
      </c>
      <c r="I262" t="s">
        <v>28</v>
      </c>
      <c r="J262" s="1">
        <v>23775</v>
      </c>
      <c r="K262" s="2">
        <f t="shared" ca="1" si="22"/>
        <v>61</v>
      </c>
      <c r="L262" t="s">
        <v>49</v>
      </c>
      <c r="M262" t="s">
        <v>30</v>
      </c>
      <c r="N262" t="s">
        <v>31</v>
      </c>
      <c r="O262" t="s">
        <v>32</v>
      </c>
      <c r="P262" t="s">
        <v>33</v>
      </c>
      <c r="Q262" s="1">
        <v>41589</v>
      </c>
      <c r="S262" s="2">
        <f t="shared" ca="1" si="23"/>
        <v>12.397260273972602</v>
      </c>
      <c r="T262" s="2" t="str">
        <f t="shared" ca="1" si="24"/>
        <v>10+ Years</v>
      </c>
      <c r="U262" t="s">
        <v>34</v>
      </c>
      <c r="V262" t="s">
        <v>35</v>
      </c>
      <c r="W262" t="s">
        <v>36</v>
      </c>
      <c r="X262" t="s">
        <v>62</v>
      </c>
      <c r="Y262" t="s">
        <v>63</v>
      </c>
      <c r="Z262" t="s">
        <v>47</v>
      </c>
      <c r="AA262">
        <v>3.73</v>
      </c>
      <c r="AB262">
        <v>3</v>
      </c>
      <c r="AC262">
        <v>0</v>
      </c>
      <c r="AD262" s="1">
        <v>43489</v>
      </c>
      <c r="AE262">
        <v>0</v>
      </c>
      <c r="AF262">
        <v>16</v>
      </c>
    </row>
    <row r="263" spans="1:32" x14ac:dyDescent="0.3">
      <c r="A263" t="s">
        <v>428</v>
      </c>
      <c r="B263">
        <v>1</v>
      </c>
      <c r="C263">
        <v>3</v>
      </c>
      <c r="D263">
        <v>66593</v>
      </c>
      <c r="E263" t="str">
        <f t="shared" si="20"/>
        <v>High</v>
      </c>
      <c r="F263">
        <v>0</v>
      </c>
      <c r="G263" t="str">
        <f t="shared" si="21"/>
        <v>No</v>
      </c>
      <c r="H263" t="s">
        <v>67</v>
      </c>
      <c r="I263" t="s">
        <v>28</v>
      </c>
      <c r="J263" s="1">
        <v>26735</v>
      </c>
      <c r="K263" s="2">
        <f t="shared" ca="1" si="22"/>
        <v>53</v>
      </c>
      <c r="L263" t="s">
        <v>49</v>
      </c>
      <c r="M263" t="s">
        <v>41</v>
      </c>
      <c r="N263" t="s">
        <v>31</v>
      </c>
      <c r="O263" t="s">
        <v>32</v>
      </c>
      <c r="P263" t="s">
        <v>64</v>
      </c>
      <c r="Q263" s="1">
        <v>40704</v>
      </c>
      <c r="S263" s="2">
        <f t="shared" ca="1" si="23"/>
        <v>14.821917808219178</v>
      </c>
      <c r="T263" s="2" t="str">
        <f t="shared" ca="1" si="24"/>
        <v>10+ Years</v>
      </c>
      <c r="U263" t="s">
        <v>34</v>
      </c>
      <c r="V263" t="s">
        <v>35</v>
      </c>
      <c r="W263" t="s">
        <v>44</v>
      </c>
      <c r="X263" t="s">
        <v>108</v>
      </c>
      <c r="Y263" t="s">
        <v>38</v>
      </c>
      <c r="Z263" t="s">
        <v>47</v>
      </c>
      <c r="AA263">
        <v>4.3</v>
      </c>
      <c r="AB263">
        <v>3</v>
      </c>
      <c r="AC263">
        <v>5</v>
      </c>
      <c r="AD263" s="1">
        <v>43504</v>
      </c>
      <c r="AE263">
        <v>0</v>
      </c>
      <c r="AF263">
        <v>19</v>
      </c>
    </row>
    <row r="264" spans="1:32" x14ac:dyDescent="0.3">
      <c r="A264" t="s">
        <v>429</v>
      </c>
      <c r="B264">
        <v>2</v>
      </c>
      <c r="C264">
        <v>3</v>
      </c>
      <c r="D264">
        <v>87565</v>
      </c>
      <c r="E264" t="str">
        <f t="shared" si="20"/>
        <v>High</v>
      </c>
      <c r="F264">
        <v>0</v>
      </c>
      <c r="G264" t="str">
        <f t="shared" si="21"/>
        <v>No</v>
      </c>
      <c r="H264" t="s">
        <v>110</v>
      </c>
      <c r="I264" t="s">
        <v>28</v>
      </c>
      <c r="J264" s="1">
        <v>30356</v>
      </c>
      <c r="K264" s="2">
        <f t="shared" ca="1" si="22"/>
        <v>43</v>
      </c>
      <c r="L264" t="s">
        <v>29</v>
      </c>
      <c r="M264" t="s">
        <v>41</v>
      </c>
      <c r="N264" t="s">
        <v>31</v>
      </c>
      <c r="O264" t="s">
        <v>32</v>
      </c>
      <c r="P264" t="s">
        <v>83</v>
      </c>
      <c r="Q264" s="1">
        <v>42551</v>
      </c>
      <c r="S264" s="2">
        <f t="shared" ca="1" si="23"/>
        <v>9.7616438356164377</v>
      </c>
      <c r="T264" s="2" t="str">
        <f t="shared" ca="1" si="24"/>
        <v>6-10 Years</v>
      </c>
      <c r="U264" t="s">
        <v>34</v>
      </c>
      <c r="V264" t="s">
        <v>35</v>
      </c>
      <c r="W264" t="s">
        <v>44</v>
      </c>
      <c r="X264" t="s">
        <v>68</v>
      </c>
      <c r="Y264" t="s">
        <v>38</v>
      </c>
      <c r="Z264" t="s">
        <v>47</v>
      </c>
      <c r="AA264">
        <v>3.27</v>
      </c>
      <c r="AB264">
        <v>4</v>
      </c>
      <c r="AC264">
        <v>5</v>
      </c>
      <c r="AD264" s="1">
        <v>43479</v>
      </c>
      <c r="AE264">
        <v>0</v>
      </c>
      <c r="AF264">
        <v>13</v>
      </c>
    </row>
    <row r="265" spans="1:32" x14ac:dyDescent="0.3">
      <c r="A265" t="s">
        <v>430</v>
      </c>
      <c r="B265">
        <v>1</v>
      </c>
      <c r="C265">
        <v>5</v>
      </c>
      <c r="D265">
        <v>64021</v>
      </c>
      <c r="E265" t="str">
        <f t="shared" si="20"/>
        <v>High</v>
      </c>
      <c r="F265">
        <v>0</v>
      </c>
      <c r="G265" t="str">
        <f t="shared" si="21"/>
        <v>No</v>
      </c>
      <c r="H265" t="s">
        <v>27</v>
      </c>
      <c r="I265" t="s">
        <v>28</v>
      </c>
      <c r="J265" s="1">
        <v>25039</v>
      </c>
      <c r="K265" s="2">
        <f t="shared" ca="1" si="22"/>
        <v>58</v>
      </c>
      <c r="L265" t="s">
        <v>49</v>
      </c>
      <c r="M265" t="s">
        <v>41</v>
      </c>
      <c r="N265" t="s">
        <v>31</v>
      </c>
      <c r="O265" t="s">
        <v>32</v>
      </c>
      <c r="P265" t="s">
        <v>33</v>
      </c>
      <c r="Q265" s="1">
        <v>40959</v>
      </c>
      <c r="S265" s="2">
        <f t="shared" ca="1" si="23"/>
        <v>14.123287671232877</v>
      </c>
      <c r="T265" s="2" t="str">
        <f t="shared" ca="1" si="24"/>
        <v>10+ Years</v>
      </c>
      <c r="U265" t="s">
        <v>34</v>
      </c>
      <c r="V265" t="s">
        <v>35</v>
      </c>
      <c r="W265" t="s">
        <v>36</v>
      </c>
      <c r="X265" t="s">
        <v>65</v>
      </c>
      <c r="Y265" t="s">
        <v>46</v>
      </c>
      <c r="Z265" t="s">
        <v>114</v>
      </c>
      <c r="AA265">
        <v>2.4</v>
      </c>
      <c r="AB265">
        <v>2</v>
      </c>
      <c r="AC265">
        <v>1</v>
      </c>
      <c r="AD265" s="1">
        <v>43521</v>
      </c>
      <c r="AE265">
        <v>6</v>
      </c>
      <c r="AF265">
        <v>20</v>
      </c>
    </row>
    <row r="266" spans="1:32" x14ac:dyDescent="0.3">
      <c r="A266" t="s">
        <v>431</v>
      </c>
      <c r="B266">
        <v>1</v>
      </c>
      <c r="C266">
        <v>5</v>
      </c>
      <c r="D266">
        <v>65714</v>
      </c>
      <c r="E266" t="str">
        <f t="shared" si="20"/>
        <v>High</v>
      </c>
      <c r="F266">
        <v>0</v>
      </c>
      <c r="G266" t="str">
        <f t="shared" si="21"/>
        <v>No</v>
      </c>
      <c r="H266" t="s">
        <v>92</v>
      </c>
      <c r="I266" t="s">
        <v>28</v>
      </c>
      <c r="J266" s="1">
        <v>27667</v>
      </c>
      <c r="K266" s="2">
        <f t="shared" ca="1" si="22"/>
        <v>51</v>
      </c>
      <c r="L266" t="s">
        <v>49</v>
      </c>
      <c r="M266" t="s">
        <v>41</v>
      </c>
      <c r="N266" t="s">
        <v>31</v>
      </c>
      <c r="O266" t="s">
        <v>32</v>
      </c>
      <c r="P266" t="s">
        <v>33</v>
      </c>
      <c r="Q266" s="1">
        <v>41184</v>
      </c>
      <c r="S266" s="2">
        <f t="shared" ca="1" si="23"/>
        <v>13.506849315068493</v>
      </c>
      <c r="T266" s="2" t="str">
        <f t="shared" ca="1" si="24"/>
        <v>10+ Years</v>
      </c>
      <c r="U266" t="s">
        <v>34</v>
      </c>
      <c r="V266" t="s">
        <v>35</v>
      </c>
      <c r="W266" t="s">
        <v>36</v>
      </c>
      <c r="X266" t="s">
        <v>94</v>
      </c>
      <c r="Y266" t="s">
        <v>38</v>
      </c>
      <c r="Z266" t="s">
        <v>47</v>
      </c>
      <c r="AA266">
        <v>4.83</v>
      </c>
      <c r="AB266">
        <v>5</v>
      </c>
      <c r="AC266">
        <v>0</v>
      </c>
      <c r="AD266" s="1">
        <v>43510</v>
      </c>
      <c r="AE266">
        <v>0</v>
      </c>
      <c r="AF266">
        <v>15</v>
      </c>
    </row>
    <row r="267" spans="1:32" x14ac:dyDescent="0.3">
      <c r="A267" t="s">
        <v>432</v>
      </c>
      <c r="B267">
        <v>5</v>
      </c>
      <c r="C267">
        <v>5</v>
      </c>
      <c r="D267">
        <v>62425</v>
      </c>
      <c r="E267" t="str">
        <f t="shared" si="20"/>
        <v>High</v>
      </c>
      <c r="F267">
        <v>1</v>
      </c>
      <c r="G267" t="str">
        <f t="shared" si="21"/>
        <v>Yes</v>
      </c>
      <c r="H267" t="s">
        <v>27</v>
      </c>
      <c r="I267" t="s">
        <v>28</v>
      </c>
      <c r="J267" s="1">
        <v>26749</v>
      </c>
      <c r="K267" s="2">
        <f t="shared" ca="1" si="22"/>
        <v>53</v>
      </c>
      <c r="L267" t="s">
        <v>49</v>
      </c>
      <c r="M267" t="s">
        <v>53</v>
      </c>
      <c r="N267" t="s">
        <v>31</v>
      </c>
      <c r="O267" t="s">
        <v>32</v>
      </c>
      <c r="P267" t="s">
        <v>33</v>
      </c>
      <c r="Q267" s="1">
        <v>41407</v>
      </c>
      <c r="R267" s="1">
        <v>42184</v>
      </c>
      <c r="S267" s="2">
        <f t="shared" ca="1" si="23"/>
        <v>2.128767123287671</v>
      </c>
      <c r="T267" s="2" t="str">
        <f t="shared" ca="1" si="24"/>
        <v>3-5 Years</v>
      </c>
      <c r="U267" t="s">
        <v>72</v>
      </c>
      <c r="V267" t="s">
        <v>43</v>
      </c>
      <c r="W267" t="s">
        <v>36</v>
      </c>
      <c r="X267" t="s">
        <v>71</v>
      </c>
      <c r="Y267" t="s">
        <v>38</v>
      </c>
      <c r="Z267" t="s">
        <v>39</v>
      </c>
      <c r="AA267">
        <v>4.0999999999999996</v>
      </c>
      <c r="AB267">
        <v>4</v>
      </c>
      <c r="AC267">
        <v>0</v>
      </c>
      <c r="AD267" s="1">
        <v>42065</v>
      </c>
      <c r="AE267">
        <v>0</v>
      </c>
      <c r="AF267">
        <v>16</v>
      </c>
    </row>
    <row r="268" spans="1:32" x14ac:dyDescent="0.3">
      <c r="A268" t="s">
        <v>433</v>
      </c>
      <c r="B268">
        <v>1</v>
      </c>
      <c r="C268">
        <v>5</v>
      </c>
      <c r="D268">
        <v>47961</v>
      </c>
      <c r="E268" t="str">
        <f t="shared" si="20"/>
        <v>Medium</v>
      </c>
      <c r="F268">
        <v>0</v>
      </c>
      <c r="G268" t="str">
        <f t="shared" si="21"/>
        <v>No</v>
      </c>
      <c r="H268" t="s">
        <v>27</v>
      </c>
      <c r="I268" t="s">
        <v>28</v>
      </c>
      <c r="J268" s="1">
        <v>30188</v>
      </c>
      <c r="K268" s="2">
        <f t="shared" ca="1" si="22"/>
        <v>44</v>
      </c>
      <c r="L268" t="s">
        <v>49</v>
      </c>
      <c r="M268" t="s">
        <v>53</v>
      </c>
      <c r="N268" t="s">
        <v>31</v>
      </c>
      <c r="O268" t="s">
        <v>32</v>
      </c>
      <c r="P268" t="s">
        <v>75</v>
      </c>
      <c r="Q268" s="1">
        <v>40553</v>
      </c>
      <c r="S268" s="2">
        <f t="shared" ca="1" si="23"/>
        <v>15.235616438356164</v>
      </c>
      <c r="T268" s="2" t="str">
        <f t="shared" ca="1" si="24"/>
        <v>10+ Years</v>
      </c>
      <c r="U268" t="s">
        <v>34</v>
      </c>
      <c r="V268" t="s">
        <v>35</v>
      </c>
      <c r="W268" t="s">
        <v>36</v>
      </c>
      <c r="X268" t="s">
        <v>51</v>
      </c>
      <c r="Y268" t="s">
        <v>56</v>
      </c>
      <c r="Z268" t="s">
        <v>47</v>
      </c>
      <c r="AA268">
        <v>4.0999999999999996</v>
      </c>
      <c r="AB268">
        <v>4</v>
      </c>
      <c r="AC268">
        <v>0</v>
      </c>
      <c r="AD268" s="1">
        <v>43503</v>
      </c>
      <c r="AE268">
        <v>0</v>
      </c>
      <c r="AF268">
        <v>9</v>
      </c>
    </row>
    <row r="269" spans="1:32" x14ac:dyDescent="0.3">
      <c r="A269" t="s">
        <v>434</v>
      </c>
      <c r="B269">
        <v>1</v>
      </c>
      <c r="C269">
        <v>6</v>
      </c>
      <c r="D269">
        <v>58273</v>
      </c>
      <c r="E269" t="str">
        <f t="shared" si="20"/>
        <v>Medium</v>
      </c>
      <c r="F269">
        <v>0</v>
      </c>
      <c r="G269" t="str">
        <f t="shared" si="21"/>
        <v>No</v>
      </c>
      <c r="H269" t="s">
        <v>97</v>
      </c>
      <c r="I269" t="s">
        <v>160</v>
      </c>
      <c r="J269" s="1">
        <v>27158</v>
      </c>
      <c r="K269" s="2">
        <f t="shared" ca="1" si="22"/>
        <v>52</v>
      </c>
      <c r="L269" t="s">
        <v>29</v>
      </c>
      <c r="M269" t="s">
        <v>41</v>
      </c>
      <c r="N269" t="s">
        <v>31</v>
      </c>
      <c r="O269" t="s">
        <v>32</v>
      </c>
      <c r="P269" t="s">
        <v>33</v>
      </c>
      <c r="Q269" s="1">
        <v>41771</v>
      </c>
      <c r="S269" s="2">
        <f t="shared" ca="1" si="23"/>
        <v>11.898630136986302</v>
      </c>
      <c r="T269" s="2" t="str">
        <f t="shared" ca="1" si="24"/>
        <v>10+ Years</v>
      </c>
      <c r="U269" t="s">
        <v>34</v>
      </c>
      <c r="V269" t="s">
        <v>35</v>
      </c>
      <c r="W269" t="s">
        <v>99</v>
      </c>
      <c r="X269" t="s">
        <v>105</v>
      </c>
      <c r="Y269" t="s">
        <v>119</v>
      </c>
      <c r="Z269" t="s">
        <v>114</v>
      </c>
      <c r="AA269">
        <v>1.81</v>
      </c>
      <c r="AB269">
        <v>2</v>
      </c>
      <c r="AC269">
        <v>0</v>
      </c>
      <c r="AD269" s="1">
        <v>43482</v>
      </c>
      <c r="AE269">
        <v>3</v>
      </c>
      <c r="AF269">
        <v>5</v>
      </c>
    </row>
    <row r="270" spans="1:32" x14ac:dyDescent="0.3">
      <c r="A270" t="s">
        <v>435</v>
      </c>
      <c r="B270">
        <v>1</v>
      </c>
      <c r="C270">
        <v>1</v>
      </c>
      <c r="D270">
        <v>63003</v>
      </c>
      <c r="E270" t="str">
        <f t="shared" si="20"/>
        <v>High</v>
      </c>
      <c r="F270">
        <v>0</v>
      </c>
      <c r="G270" t="str">
        <f t="shared" si="21"/>
        <v>No</v>
      </c>
      <c r="H270" t="s">
        <v>95</v>
      </c>
      <c r="I270" t="s">
        <v>28</v>
      </c>
      <c r="J270" s="1">
        <v>31656</v>
      </c>
      <c r="K270" s="2">
        <f t="shared" ca="1" si="22"/>
        <v>40</v>
      </c>
      <c r="L270" t="s">
        <v>29</v>
      </c>
      <c r="M270" t="s">
        <v>30</v>
      </c>
      <c r="N270" t="s">
        <v>31</v>
      </c>
      <c r="O270" t="s">
        <v>32</v>
      </c>
      <c r="P270" t="s">
        <v>33</v>
      </c>
      <c r="Q270" s="1">
        <v>41911</v>
      </c>
      <c r="S270" s="2">
        <f t="shared" ca="1" si="23"/>
        <v>11.515068493150684</v>
      </c>
      <c r="T270" s="2" t="str">
        <f t="shared" ca="1" si="24"/>
        <v>10+ Years</v>
      </c>
      <c r="U270" t="s">
        <v>34</v>
      </c>
      <c r="V270" t="s">
        <v>35</v>
      </c>
      <c r="W270" t="s">
        <v>90</v>
      </c>
      <c r="X270" t="s">
        <v>91</v>
      </c>
      <c r="Y270" t="s">
        <v>46</v>
      </c>
      <c r="Z270" t="s">
        <v>47</v>
      </c>
      <c r="AA270">
        <v>3.9</v>
      </c>
      <c r="AB270">
        <v>5</v>
      </c>
      <c r="AC270">
        <v>5</v>
      </c>
      <c r="AD270" s="1">
        <v>43483</v>
      </c>
      <c r="AE270">
        <v>0</v>
      </c>
      <c r="AF270">
        <v>9</v>
      </c>
    </row>
    <row r="271" spans="1:32" x14ac:dyDescent="0.3">
      <c r="A271" t="s">
        <v>436</v>
      </c>
      <c r="B271">
        <v>1</v>
      </c>
      <c r="C271">
        <v>5</v>
      </c>
      <c r="D271">
        <v>61355</v>
      </c>
      <c r="E271" t="str">
        <f t="shared" si="20"/>
        <v>High</v>
      </c>
      <c r="F271">
        <v>0</v>
      </c>
      <c r="G271" t="str">
        <f t="shared" si="21"/>
        <v>No</v>
      </c>
      <c r="H271" t="s">
        <v>27</v>
      </c>
      <c r="I271" t="s">
        <v>28</v>
      </c>
      <c r="J271" s="1">
        <v>31120</v>
      </c>
      <c r="K271" s="2">
        <f t="shared" ca="1" si="22"/>
        <v>41</v>
      </c>
      <c r="L271" t="s">
        <v>29</v>
      </c>
      <c r="M271" t="s">
        <v>41</v>
      </c>
      <c r="N271" t="s">
        <v>31</v>
      </c>
      <c r="O271" t="s">
        <v>32</v>
      </c>
      <c r="P271" t="s">
        <v>83</v>
      </c>
      <c r="Q271" s="1">
        <v>41687</v>
      </c>
      <c r="S271" s="2">
        <f t="shared" ca="1" si="23"/>
        <v>12.128767123287671</v>
      </c>
      <c r="T271" s="2" t="str">
        <f t="shared" ca="1" si="24"/>
        <v>10+ Years</v>
      </c>
      <c r="U271" t="s">
        <v>34</v>
      </c>
      <c r="V271" t="s">
        <v>35</v>
      </c>
      <c r="W271" t="s">
        <v>36</v>
      </c>
      <c r="X271" t="s">
        <v>76</v>
      </c>
      <c r="Y271" t="s">
        <v>38</v>
      </c>
      <c r="Z271" t="s">
        <v>47</v>
      </c>
      <c r="AA271">
        <v>4.7</v>
      </c>
      <c r="AB271">
        <v>3</v>
      </c>
      <c r="AC271">
        <v>0</v>
      </c>
      <c r="AD271" s="1">
        <v>43476</v>
      </c>
      <c r="AE271">
        <v>0</v>
      </c>
      <c r="AF271">
        <v>4</v>
      </c>
    </row>
    <row r="272" spans="1:32" x14ac:dyDescent="0.3">
      <c r="A272" t="s">
        <v>437</v>
      </c>
      <c r="B272">
        <v>1</v>
      </c>
      <c r="C272">
        <v>6</v>
      </c>
      <c r="D272">
        <v>60120</v>
      </c>
      <c r="E272" t="str">
        <f t="shared" si="20"/>
        <v>High</v>
      </c>
      <c r="F272">
        <v>0</v>
      </c>
      <c r="G272" t="str">
        <f t="shared" si="21"/>
        <v>No</v>
      </c>
      <c r="H272" t="s">
        <v>97</v>
      </c>
      <c r="I272" t="s">
        <v>161</v>
      </c>
      <c r="J272" s="1">
        <v>32640</v>
      </c>
      <c r="K272" s="2">
        <f t="shared" ca="1" si="22"/>
        <v>37</v>
      </c>
      <c r="L272" t="s">
        <v>49</v>
      </c>
      <c r="M272" t="s">
        <v>41</v>
      </c>
      <c r="N272" t="s">
        <v>31</v>
      </c>
      <c r="O272" t="s">
        <v>32</v>
      </c>
      <c r="P272" t="s">
        <v>64</v>
      </c>
      <c r="Q272" s="1">
        <v>40448</v>
      </c>
      <c r="S272" s="2">
        <f t="shared" ca="1" si="23"/>
        <v>15.523287671232877</v>
      </c>
      <c r="T272" s="2" t="str">
        <f t="shared" ca="1" si="24"/>
        <v>10+ Years</v>
      </c>
      <c r="U272" t="s">
        <v>34</v>
      </c>
      <c r="V272" t="s">
        <v>35</v>
      </c>
      <c r="W272" t="s">
        <v>99</v>
      </c>
      <c r="X272" t="s">
        <v>100</v>
      </c>
      <c r="Y272" t="s">
        <v>46</v>
      </c>
      <c r="Z272" t="s">
        <v>47</v>
      </c>
      <c r="AA272">
        <v>4.0999999999999996</v>
      </c>
      <c r="AB272">
        <v>4</v>
      </c>
      <c r="AC272">
        <v>0</v>
      </c>
      <c r="AD272" s="1">
        <v>43496</v>
      </c>
      <c r="AE272">
        <v>0</v>
      </c>
      <c r="AF272">
        <v>18</v>
      </c>
    </row>
    <row r="273" spans="1:32" x14ac:dyDescent="0.3">
      <c r="A273" t="s">
        <v>438</v>
      </c>
      <c r="B273">
        <v>1</v>
      </c>
      <c r="C273">
        <v>5</v>
      </c>
      <c r="D273">
        <v>63682</v>
      </c>
      <c r="E273" t="str">
        <f t="shared" si="20"/>
        <v>High</v>
      </c>
      <c r="F273">
        <v>0</v>
      </c>
      <c r="G273" t="str">
        <f t="shared" si="21"/>
        <v>No</v>
      </c>
      <c r="H273" t="s">
        <v>92</v>
      </c>
      <c r="I273" t="s">
        <v>28</v>
      </c>
      <c r="J273" s="1">
        <v>28577</v>
      </c>
      <c r="K273" s="2">
        <f t="shared" ca="1" si="22"/>
        <v>48</v>
      </c>
      <c r="L273" t="s">
        <v>49</v>
      </c>
      <c r="M273" t="s">
        <v>41</v>
      </c>
      <c r="N273" t="s">
        <v>31</v>
      </c>
      <c r="O273" t="s">
        <v>32</v>
      </c>
      <c r="P273" t="s">
        <v>64</v>
      </c>
      <c r="Q273" s="1">
        <v>39821</v>
      </c>
      <c r="S273" s="2">
        <f t="shared" ca="1" si="23"/>
        <v>17.241095890410961</v>
      </c>
      <c r="T273" s="2" t="str">
        <f t="shared" ca="1" si="24"/>
        <v>10+ Years</v>
      </c>
      <c r="U273" t="s">
        <v>34</v>
      </c>
      <c r="V273" t="s">
        <v>35</v>
      </c>
      <c r="W273" t="s">
        <v>36</v>
      </c>
      <c r="X273" t="s">
        <v>94</v>
      </c>
      <c r="Y273" t="s">
        <v>46</v>
      </c>
      <c r="Z273" t="s">
        <v>47</v>
      </c>
      <c r="AA273">
        <v>3.73</v>
      </c>
      <c r="AB273">
        <v>4</v>
      </c>
      <c r="AC273">
        <v>0</v>
      </c>
      <c r="AD273" s="1">
        <v>43489</v>
      </c>
      <c r="AE273">
        <v>0</v>
      </c>
      <c r="AF273">
        <v>12</v>
      </c>
    </row>
    <row r="274" spans="1:32" x14ac:dyDescent="0.3">
      <c r="A274" t="s">
        <v>439</v>
      </c>
      <c r="B274">
        <v>1</v>
      </c>
      <c r="C274">
        <v>5</v>
      </c>
      <c r="D274">
        <v>63025</v>
      </c>
      <c r="E274" t="str">
        <f t="shared" si="20"/>
        <v>High</v>
      </c>
      <c r="F274">
        <v>0</v>
      </c>
      <c r="G274" t="str">
        <f t="shared" si="21"/>
        <v>No</v>
      </c>
      <c r="H274" t="s">
        <v>27</v>
      </c>
      <c r="I274" t="s">
        <v>28</v>
      </c>
      <c r="J274" s="1">
        <v>30231</v>
      </c>
      <c r="K274" s="2">
        <f t="shared" ca="1" si="22"/>
        <v>44</v>
      </c>
      <c r="L274" t="s">
        <v>29</v>
      </c>
      <c r="M274" t="s">
        <v>41</v>
      </c>
      <c r="N274" t="s">
        <v>31</v>
      </c>
      <c r="O274" t="s">
        <v>69</v>
      </c>
      <c r="P274" t="s">
        <v>33</v>
      </c>
      <c r="Q274" s="1">
        <v>42009</v>
      </c>
      <c r="S274" s="2">
        <f t="shared" ca="1" si="23"/>
        <v>11.246575342465754</v>
      </c>
      <c r="T274" s="2" t="str">
        <f t="shared" ca="1" si="24"/>
        <v>10+ Years</v>
      </c>
      <c r="U274" t="s">
        <v>34</v>
      </c>
      <c r="V274" t="s">
        <v>35</v>
      </c>
      <c r="W274" t="s">
        <v>36</v>
      </c>
      <c r="X274" t="s">
        <v>37</v>
      </c>
      <c r="Y274" t="s">
        <v>56</v>
      </c>
      <c r="Z274" t="s">
        <v>47</v>
      </c>
      <c r="AA274">
        <v>4.3600000000000003</v>
      </c>
      <c r="AB274">
        <v>5</v>
      </c>
      <c r="AC274">
        <v>0</v>
      </c>
      <c r="AD274" s="1">
        <v>43489</v>
      </c>
      <c r="AE274">
        <v>0</v>
      </c>
      <c r="AF274">
        <v>10</v>
      </c>
    </row>
    <row r="275" spans="1:32" x14ac:dyDescent="0.3">
      <c r="A275" t="s">
        <v>440</v>
      </c>
      <c r="B275">
        <v>1</v>
      </c>
      <c r="C275">
        <v>5</v>
      </c>
      <c r="D275">
        <v>59238</v>
      </c>
      <c r="E275" t="str">
        <f t="shared" si="20"/>
        <v>Medium</v>
      </c>
      <c r="F275">
        <v>0</v>
      </c>
      <c r="G275" t="str">
        <f t="shared" si="21"/>
        <v>No</v>
      </c>
      <c r="H275" t="s">
        <v>27</v>
      </c>
      <c r="I275" t="s">
        <v>28</v>
      </c>
      <c r="J275" s="1">
        <v>25065</v>
      </c>
      <c r="K275" s="2">
        <f t="shared" ca="1" si="22"/>
        <v>58</v>
      </c>
      <c r="L275" t="s">
        <v>49</v>
      </c>
      <c r="M275" t="s">
        <v>30</v>
      </c>
      <c r="N275" t="s">
        <v>80</v>
      </c>
      <c r="O275" t="s">
        <v>32</v>
      </c>
      <c r="P275" t="s">
        <v>83</v>
      </c>
      <c r="Q275" s="1">
        <v>41043</v>
      </c>
      <c r="S275" s="2">
        <f t="shared" ca="1" si="23"/>
        <v>13.893150684931507</v>
      </c>
      <c r="T275" s="2" t="str">
        <f t="shared" ca="1" si="24"/>
        <v>10+ Years</v>
      </c>
      <c r="U275" t="s">
        <v>34</v>
      </c>
      <c r="V275" t="s">
        <v>35</v>
      </c>
      <c r="W275" t="s">
        <v>36</v>
      </c>
      <c r="X275" t="s">
        <v>52</v>
      </c>
      <c r="Y275" t="s">
        <v>46</v>
      </c>
      <c r="Z275" t="s">
        <v>47</v>
      </c>
      <c r="AA275">
        <v>3.4</v>
      </c>
      <c r="AB275">
        <v>5</v>
      </c>
      <c r="AC275">
        <v>0</v>
      </c>
      <c r="AD275" s="1">
        <v>43496</v>
      </c>
      <c r="AE275">
        <v>0</v>
      </c>
      <c r="AF275">
        <v>13</v>
      </c>
    </row>
    <row r="276" spans="1:32" x14ac:dyDescent="0.3">
      <c r="A276" t="s">
        <v>441</v>
      </c>
      <c r="B276">
        <v>1</v>
      </c>
      <c r="C276">
        <v>4</v>
      </c>
      <c r="D276">
        <v>92989</v>
      </c>
      <c r="E276" t="str">
        <f t="shared" si="20"/>
        <v>High</v>
      </c>
      <c r="F276">
        <v>0</v>
      </c>
      <c r="G276" t="str">
        <f t="shared" si="21"/>
        <v>No</v>
      </c>
      <c r="H276" t="s">
        <v>58</v>
      </c>
      <c r="I276" t="s">
        <v>28</v>
      </c>
      <c r="J276" s="1">
        <v>30442</v>
      </c>
      <c r="K276" s="2">
        <f t="shared" ca="1" si="22"/>
        <v>43</v>
      </c>
      <c r="L276" t="s">
        <v>29</v>
      </c>
      <c r="M276" t="s">
        <v>30</v>
      </c>
      <c r="N276" t="s">
        <v>31</v>
      </c>
      <c r="O276" t="s">
        <v>32</v>
      </c>
      <c r="P276" t="s">
        <v>33</v>
      </c>
      <c r="Q276" s="1">
        <v>41827</v>
      </c>
      <c r="S276" s="2">
        <f t="shared" ca="1" si="23"/>
        <v>11.745205479452055</v>
      </c>
      <c r="T276" s="2" t="str">
        <f t="shared" ca="1" si="24"/>
        <v>10+ Years</v>
      </c>
      <c r="U276" t="s">
        <v>34</v>
      </c>
      <c r="V276" t="s">
        <v>35</v>
      </c>
      <c r="W276" t="s">
        <v>59</v>
      </c>
      <c r="X276" t="s">
        <v>60</v>
      </c>
      <c r="Y276" t="s">
        <v>38</v>
      </c>
      <c r="Z276" t="s">
        <v>39</v>
      </c>
      <c r="AA276">
        <v>4.5</v>
      </c>
      <c r="AB276">
        <v>5</v>
      </c>
      <c r="AC276">
        <v>5</v>
      </c>
      <c r="AD276" s="1">
        <v>43514</v>
      </c>
      <c r="AE276">
        <v>0</v>
      </c>
      <c r="AF276">
        <v>1</v>
      </c>
    </row>
    <row r="277" spans="1:32" x14ac:dyDescent="0.3">
      <c r="A277" t="s">
        <v>442</v>
      </c>
      <c r="B277">
        <v>1</v>
      </c>
      <c r="C277">
        <v>3</v>
      </c>
      <c r="D277">
        <v>90100</v>
      </c>
      <c r="E277" t="str">
        <f t="shared" si="20"/>
        <v>High</v>
      </c>
      <c r="F277">
        <v>0</v>
      </c>
      <c r="G277" t="str">
        <f t="shared" si="21"/>
        <v>No</v>
      </c>
      <c r="H277" t="s">
        <v>116</v>
      </c>
      <c r="I277" t="s">
        <v>28</v>
      </c>
      <c r="J277" s="1">
        <v>32074</v>
      </c>
      <c r="K277" s="2">
        <f t="shared" ca="1" si="22"/>
        <v>39</v>
      </c>
      <c r="L277" t="s">
        <v>29</v>
      </c>
      <c r="M277" t="s">
        <v>41</v>
      </c>
      <c r="N277" t="s">
        <v>31</v>
      </c>
      <c r="O277" t="s">
        <v>32</v>
      </c>
      <c r="P277" t="s">
        <v>33</v>
      </c>
      <c r="Q277" s="1">
        <v>42845</v>
      </c>
      <c r="S277" s="2">
        <f t="shared" ca="1" si="23"/>
        <v>8.956164383561644</v>
      </c>
      <c r="T277" s="2" t="str">
        <f t="shared" ca="1" si="24"/>
        <v>6-10 Years</v>
      </c>
      <c r="U277" t="s">
        <v>34</v>
      </c>
      <c r="V277" t="s">
        <v>35</v>
      </c>
      <c r="W277" t="s">
        <v>44</v>
      </c>
      <c r="X277" t="s">
        <v>117</v>
      </c>
      <c r="Y277" t="s">
        <v>46</v>
      </c>
      <c r="Z277" t="s">
        <v>47</v>
      </c>
      <c r="AA277">
        <v>3.4</v>
      </c>
      <c r="AB277">
        <v>3</v>
      </c>
      <c r="AC277">
        <v>6</v>
      </c>
      <c r="AD277" s="1">
        <v>43467</v>
      </c>
      <c r="AE277">
        <v>0</v>
      </c>
      <c r="AF277">
        <v>14</v>
      </c>
    </row>
    <row r="278" spans="1:32" x14ac:dyDescent="0.3">
      <c r="A278" t="s">
        <v>443</v>
      </c>
      <c r="B278">
        <v>5</v>
      </c>
      <c r="C278">
        <v>5</v>
      </c>
      <c r="D278">
        <v>60754</v>
      </c>
      <c r="E278" t="str">
        <f t="shared" si="20"/>
        <v>High</v>
      </c>
      <c r="F278">
        <v>1</v>
      </c>
      <c r="G278" t="str">
        <f t="shared" si="21"/>
        <v>Yes</v>
      </c>
      <c r="H278" t="s">
        <v>27</v>
      </c>
      <c r="I278" t="s">
        <v>28</v>
      </c>
      <c r="J278" s="1">
        <v>27487</v>
      </c>
      <c r="K278" s="2">
        <f t="shared" ca="1" si="22"/>
        <v>51</v>
      </c>
      <c r="L278" t="s">
        <v>49</v>
      </c>
      <c r="M278" t="s">
        <v>41</v>
      </c>
      <c r="N278" t="s">
        <v>107</v>
      </c>
      <c r="O278" t="s">
        <v>32</v>
      </c>
      <c r="P278" t="s">
        <v>64</v>
      </c>
      <c r="Q278" s="1">
        <v>39930</v>
      </c>
      <c r="R278" s="1">
        <v>41365</v>
      </c>
      <c r="S278" s="2">
        <f t="shared" ca="1" si="23"/>
        <v>3.9315068493150687</v>
      </c>
      <c r="T278" s="2" t="str">
        <f t="shared" ca="1" si="24"/>
        <v>3-5 Years</v>
      </c>
      <c r="U278" t="s">
        <v>70</v>
      </c>
      <c r="V278" t="s">
        <v>43</v>
      </c>
      <c r="W278" t="s">
        <v>36</v>
      </c>
      <c r="X278" t="s">
        <v>55</v>
      </c>
      <c r="Y278" t="s">
        <v>66</v>
      </c>
      <c r="Z278" t="s">
        <v>47</v>
      </c>
      <c r="AA278">
        <v>4.5</v>
      </c>
      <c r="AB278">
        <v>5</v>
      </c>
      <c r="AC278">
        <v>0</v>
      </c>
      <c r="AD278" s="1">
        <v>40954</v>
      </c>
      <c r="AE278">
        <v>0</v>
      </c>
      <c r="AF278">
        <v>11</v>
      </c>
    </row>
    <row r="279" spans="1:32" x14ac:dyDescent="0.3">
      <c r="A279" t="s">
        <v>444</v>
      </c>
      <c r="B279">
        <v>5</v>
      </c>
      <c r="C279">
        <v>5</v>
      </c>
      <c r="D279">
        <v>72202</v>
      </c>
      <c r="E279" t="str">
        <f t="shared" si="20"/>
        <v>High</v>
      </c>
      <c r="F279">
        <v>1</v>
      </c>
      <c r="G279" t="str">
        <f t="shared" si="21"/>
        <v>Yes</v>
      </c>
      <c r="H279" t="s">
        <v>48</v>
      </c>
      <c r="I279" t="s">
        <v>28</v>
      </c>
      <c r="J279" s="1">
        <v>19503</v>
      </c>
      <c r="K279" s="2">
        <f t="shared" ca="1" si="22"/>
        <v>73</v>
      </c>
      <c r="L279" t="s">
        <v>49</v>
      </c>
      <c r="M279" t="s">
        <v>41</v>
      </c>
      <c r="N279" t="s">
        <v>31</v>
      </c>
      <c r="O279" t="s">
        <v>32</v>
      </c>
      <c r="P279" t="s">
        <v>33</v>
      </c>
      <c r="Q279" s="1">
        <v>40679</v>
      </c>
      <c r="R279" s="1">
        <v>42924</v>
      </c>
      <c r="S279" s="2">
        <f t="shared" ca="1" si="23"/>
        <v>6.1506849315068495</v>
      </c>
      <c r="T279" s="2" t="str">
        <f t="shared" ca="1" si="24"/>
        <v>6-10 Years</v>
      </c>
      <c r="U279" t="s">
        <v>70</v>
      </c>
      <c r="V279" t="s">
        <v>43</v>
      </c>
      <c r="W279" t="s">
        <v>36</v>
      </c>
      <c r="X279" t="s">
        <v>52</v>
      </c>
      <c r="Y279" t="s">
        <v>56</v>
      </c>
      <c r="Z279" t="s">
        <v>47</v>
      </c>
      <c r="AA279">
        <v>3.93</v>
      </c>
      <c r="AB279">
        <v>3</v>
      </c>
      <c r="AC279">
        <v>0</v>
      </c>
      <c r="AD279" s="1">
        <v>42843</v>
      </c>
      <c r="AE279">
        <v>0</v>
      </c>
      <c r="AF279">
        <v>3</v>
      </c>
    </row>
    <row r="280" spans="1:32" x14ac:dyDescent="0.3">
      <c r="A280" t="s">
        <v>445</v>
      </c>
      <c r="B280">
        <v>1</v>
      </c>
      <c r="C280">
        <v>6</v>
      </c>
      <c r="D280">
        <v>58370</v>
      </c>
      <c r="E280" t="str">
        <f t="shared" si="20"/>
        <v>Medium</v>
      </c>
      <c r="F280">
        <v>0</v>
      </c>
      <c r="G280" t="str">
        <f t="shared" si="21"/>
        <v>No</v>
      </c>
      <c r="H280" t="s">
        <v>97</v>
      </c>
      <c r="I280" t="s">
        <v>162</v>
      </c>
      <c r="J280" s="1">
        <v>23869</v>
      </c>
      <c r="K280" s="2">
        <f t="shared" ca="1" si="22"/>
        <v>61</v>
      </c>
      <c r="L280" t="s">
        <v>49</v>
      </c>
      <c r="M280" t="s">
        <v>30</v>
      </c>
      <c r="N280" t="s">
        <v>31</v>
      </c>
      <c r="O280" t="s">
        <v>32</v>
      </c>
      <c r="P280" t="s">
        <v>64</v>
      </c>
      <c r="Q280" s="1">
        <v>41911</v>
      </c>
      <c r="S280" s="2">
        <f t="shared" ca="1" si="23"/>
        <v>11.515068493150684</v>
      </c>
      <c r="T280" s="2" t="str">
        <f t="shared" ca="1" si="24"/>
        <v>10+ Years</v>
      </c>
      <c r="U280" t="s">
        <v>34</v>
      </c>
      <c r="V280" t="s">
        <v>35</v>
      </c>
      <c r="W280" t="s">
        <v>99</v>
      </c>
      <c r="X280" t="s">
        <v>105</v>
      </c>
      <c r="Y280" t="s">
        <v>46</v>
      </c>
      <c r="Z280" t="s">
        <v>47</v>
      </c>
      <c r="AA280">
        <v>3.69</v>
      </c>
      <c r="AB280">
        <v>3</v>
      </c>
      <c r="AC280">
        <v>0</v>
      </c>
      <c r="AD280" s="1">
        <v>43493</v>
      </c>
      <c r="AE280">
        <v>0</v>
      </c>
      <c r="AF280">
        <v>18</v>
      </c>
    </row>
    <row r="281" spans="1:32" x14ac:dyDescent="0.3">
      <c r="A281" t="s">
        <v>446</v>
      </c>
      <c r="B281">
        <v>5</v>
      </c>
      <c r="C281">
        <v>5</v>
      </c>
      <c r="D281">
        <v>48413</v>
      </c>
      <c r="E281" t="str">
        <f t="shared" si="20"/>
        <v>Medium</v>
      </c>
      <c r="F281">
        <v>1</v>
      </c>
      <c r="G281" t="str">
        <f t="shared" si="21"/>
        <v>Yes</v>
      </c>
      <c r="H281" t="s">
        <v>27</v>
      </c>
      <c r="I281" t="s">
        <v>28</v>
      </c>
      <c r="J281" s="1">
        <v>23871</v>
      </c>
      <c r="K281" s="2">
        <f t="shared" ca="1" si="22"/>
        <v>61</v>
      </c>
      <c r="L281" t="s">
        <v>49</v>
      </c>
      <c r="M281" t="s">
        <v>30</v>
      </c>
      <c r="N281" t="s">
        <v>31</v>
      </c>
      <c r="O281" t="s">
        <v>32</v>
      </c>
      <c r="P281" t="s">
        <v>33</v>
      </c>
      <c r="Q281" s="1">
        <v>40729</v>
      </c>
      <c r="R281" s="1">
        <v>42618</v>
      </c>
      <c r="S281" s="2">
        <f t="shared" ca="1" si="23"/>
        <v>5.1753424657534248</v>
      </c>
      <c r="T281" s="2" t="str">
        <f t="shared" ca="1" si="24"/>
        <v>6-10 Years</v>
      </c>
      <c r="U281" t="s">
        <v>54</v>
      </c>
      <c r="V281" t="s">
        <v>43</v>
      </c>
      <c r="W281" t="s">
        <v>36</v>
      </c>
      <c r="X281" t="s">
        <v>57</v>
      </c>
      <c r="Y281" t="s">
        <v>46</v>
      </c>
      <c r="Z281" t="s">
        <v>47</v>
      </c>
      <c r="AA281">
        <v>3.98</v>
      </c>
      <c r="AB281">
        <v>4</v>
      </c>
      <c r="AC281">
        <v>0</v>
      </c>
      <c r="AD281" s="1">
        <v>42431</v>
      </c>
      <c r="AE281">
        <v>0</v>
      </c>
      <c r="AF281">
        <v>1</v>
      </c>
    </row>
    <row r="282" spans="1:32" x14ac:dyDescent="0.3">
      <c r="A282" t="s">
        <v>447</v>
      </c>
      <c r="B282">
        <v>5</v>
      </c>
      <c r="C282">
        <v>5</v>
      </c>
      <c r="D282">
        <v>67176</v>
      </c>
      <c r="E282" t="str">
        <f t="shared" si="20"/>
        <v>High</v>
      </c>
      <c r="F282">
        <v>1</v>
      </c>
      <c r="G282" t="str">
        <f t="shared" si="21"/>
        <v>Yes</v>
      </c>
      <c r="H282" t="s">
        <v>48</v>
      </c>
      <c r="I282" t="s">
        <v>28</v>
      </c>
      <c r="J282" s="1">
        <v>27653</v>
      </c>
      <c r="K282" s="2">
        <f t="shared" ca="1" si="22"/>
        <v>51</v>
      </c>
      <c r="L282" t="s">
        <v>29</v>
      </c>
      <c r="M282" t="s">
        <v>61</v>
      </c>
      <c r="N282" t="s">
        <v>31</v>
      </c>
      <c r="O282" t="s">
        <v>32</v>
      </c>
      <c r="P282" t="s">
        <v>33</v>
      </c>
      <c r="Q282" s="1">
        <v>39258</v>
      </c>
      <c r="R282" s="1">
        <v>40420</v>
      </c>
      <c r="S282" s="2">
        <f t="shared" ca="1" si="23"/>
        <v>3.1835616438356165</v>
      </c>
      <c r="T282" s="2" t="str">
        <f t="shared" ca="1" si="24"/>
        <v>3-5 Years</v>
      </c>
      <c r="U282" t="s">
        <v>122</v>
      </c>
      <c r="V282" t="s">
        <v>43</v>
      </c>
      <c r="W282" t="s">
        <v>36</v>
      </c>
      <c r="X282" t="s">
        <v>55</v>
      </c>
      <c r="Y282" t="s">
        <v>129</v>
      </c>
      <c r="Z282" t="s">
        <v>47</v>
      </c>
      <c r="AA282">
        <v>4.0999999999999996</v>
      </c>
      <c r="AB282">
        <v>4</v>
      </c>
      <c r="AC282">
        <v>0</v>
      </c>
      <c r="AD282" s="1">
        <v>40373</v>
      </c>
      <c r="AE282">
        <v>0</v>
      </c>
      <c r="AF282">
        <v>15</v>
      </c>
    </row>
    <row r="283" spans="1:32" x14ac:dyDescent="0.3">
      <c r="A283" t="s">
        <v>448</v>
      </c>
      <c r="B283">
        <v>1</v>
      </c>
      <c r="C283">
        <v>5</v>
      </c>
      <c r="D283">
        <v>56339</v>
      </c>
      <c r="E283" t="str">
        <f t="shared" si="20"/>
        <v>Medium</v>
      </c>
      <c r="F283">
        <v>0</v>
      </c>
      <c r="G283" t="str">
        <f t="shared" si="21"/>
        <v>No</v>
      </c>
      <c r="H283" t="s">
        <v>27</v>
      </c>
      <c r="I283" t="s">
        <v>28</v>
      </c>
      <c r="J283" s="1">
        <v>24628</v>
      </c>
      <c r="K283" s="2">
        <f t="shared" ca="1" si="22"/>
        <v>59</v>
      </c>
      <c r="L283" t="s">
        <v>49</v>
      </c>
      <c r="M283" t="s">
        <v>53</v>
      </c>
      <c r="N283" t="s">
        <v>31</v>
      </c>
      <c r="O283" t="s">
        <v>32</v>
      </c>
      <c r="P283" t="s">
        <v>64</v>
      </c>
      <c r="Q283" s="1">
        <v>41323</v>
      </c>
      <c r="S283" s="2">
        <f t="shared" ca="1" si="23"/>
        <v>13.126027397260273</v>
      </c>
      <c r="T283" s="2" t="str">
        <f t="shared" ca="1" si="24"/>
        <v>10+ Years</v>
      </c>
      <c r="U283" t="s">
        <v>34</v>
      </c>
      <c r="V283" t="s">
        <v>35</v>
      </c>
      <c r="W283" t="s">
        <v>36</v>
      </c>
      <c r="X283" t="s">
        <v>65</v>
      </c>
      <c r="Y283" t="s">
        <v>46</v>
      </c>
      <c r="Z283" t="s">
        <v>47</v>
      </c>
      <c r="AA283">
        <v>4.21</v>
      </c>
      <c r="AB283">
        <v>5</v>
      </c>
      <c r="AC283">
        <v>0</v>
      </c>
      <c r="AD283" s="1">
        <v>43479</v>
      </c>
      <c r="AE283">
        <v>0</v>
      </c>
      <c r="AF283">
        <v>4</v>
      </c>
    </row>
    <row r="284" spans="1:32" x14ac:dyDescent="0.3">
      <c r="A284" t="s">
        <v>449</v>
      </c>
      <c r="B284">
        <v>1</v>
      </c>
      <c r="C284">
        <v>6</v>
      </c>
      <c r="D284">
        <v>64397</v>
      </c>
      <c r="E284" t="str">
        <f t="shared" si="20"/>
        <v>High</v>
      </c>
      <c r="F284">
        <v>0</v>
      </c>
      <c r="G284" t="str">
        <f t="shared" si="21"/>
        <v>No</v>
      </c>
      <c r="H284" t="s">
        <v>97</v>
      </c>
      <c r="I284" t="s">
        <v>163</v>
      </c>
      <c r="J284" s="1">
        <v>24852</v>
      </c>
      <c r="K284" s="2">
        <f t="shared" ca="1" si="22"/>
        <v>58</v>
      </c>
      <c r="L284" t="s">
        <v>29</v>
      </c>
      <c r="M284" t="s">
        <v>96</v>
      </c>
      <c r="N284" t="s">
        <v>31</v>
      </c>
      <c r="O284" t="s">
        <v>32</v>
      </c>
      <c r="P284" t="s">
        <v>33</v>
      </c>
      <c r="Q284" s="1">
        <v>38726</v>
      </c>
      <c r="S284" s="2">
        <f t="shared" ca="1" si="23"/>
        <v>20.241095890410961</v>
      </c>
      <c r="T284" s="2" t="str">
        <f t="shared" ca="1" si="24"/>
        <v>10+ Years</v>
      </c>
      <c r="U284" t="s">
        <v>34</v>
      </c>
      <c r="V284" t="s">
        <v>35</v>
      </c>
      <c r="W284" t="s">
        <v>99</v>
      </c>
      <c r="X284" t="s">
        <v>105</v>
      </c>
      <c r="Y284" t="s">
        <v>46</v>
      </c>
      <c r="Z284" t="s">
        <v>39</v>
      </c>
      <c r="AA284">
        <v>4.0999999999999996</v>
      </c>
      <c r="AB284">
        <v>3</v>
      </c>
      <c r="AC284">
        <v>0</v>
      </c>
      <c r="AD284" s="1">
        <v>43469</v>
      </c>
      <c r="AE284">
        <v>0</v>
      </c>
      <c r="AF284">
        <v>6</v>
      </c>
    </row>
    <row r="285" spans="1:32" x14ac:dyDescent="0.3">
      <c r="A285" t="s">
        <v>450</v>
      </c>
      <c r="B285">
        <v>1</v>
      </c>
      <c r="C285">
        <v>5</v>
      </c>
      <c r="D285">
        <v>63025</v>
      </c>
      <c r="E285" t="str">
        <f t="shared" si="20"/>
        <v>High</v>
      </c>
      <c r="F285">
        <v>0</v>
      </c>
      <c r="G285" t="str">
        <f t="shared" si="21"/>
        <v>No</v>
      </c>
      <c r="H285" t="s">
        <v>27</v>
      </c>
      <c r="I285" t="s">
        <v>28</v>
      </c>
      <c r="J285" s="1">
        <v>30452</v>
      </c>
      <c r="K285" s="2">
        <f t="shared" ca="1" si="22"/>
        <v>43</v>
      </c>
      <c r="L285" t="s">
        <v>49</v>
      </c>
      <c r="M285" t="s">
        <v>30</v>
      </c>
      <c r="N285" t="s">
        <v>31</v>
      </c>
      <c r="O285" t="s">
        <v>32</v>
      </c>
      <c r="P285" t="s">
        <v>33</v>
      </c>
      <c r="Q285" s="1">
        <v>41687</v>
      </c>
      <c r="S285" s="2">
        <f t="shared" ca="1" si="23"/>
        <v>12.128767123287671</v>
      </c>
      <c r="T285" s="2" t="str">
        <f t="shared" ca="1" si="24"/>
        <v>10+ Years</v>
      </c>
      <c r="U285" t="s">
        <v>34</v>
      </c>
      <c r="V285" t="s">
        <v>35</v>
      </c>
      <c r="W285" t="s">
        <v>36</v>
      </c>
      <c r="X285" t="s">
        <v>71</v>
      </c>
      <c r="Y285" t="s">
        <v>38</v>
      </c>
      <c r="Z285" t="s">
        <v>85</v>
      </c>
      <c r="AA285">
        <v>2.44</v>
      </c>
      <c r="AB285">
        <v>5</v>
      </c>
      <c r="AC285">
        <v>0</v>
      </c>
      <c r="AD285" s="1">
        <v>43507</v>
      </c>
      <c r="AE285">
        <v>4</v>
      </c>
      <c r="AF285">
        <v>18</v>
      </c>
    </row>
    <row r="286" spans="1:32" x14ac:dyDescent="0.3">
      <c r="A286" t="s">
        <v>451</v>
      </c>
      <c r="B286">
        <v>5</v>
      </c>
      <c r="C286">
        <v>3</v>
      </c>
      <c r="D286">
        <v>75281</v>
      </c>
      <c r="E286" t="str">
        <f t="shared" si="20"/>
        <v>High</v>
      </c>
      <c r="F286">
        <v>1</v>
      </c>
      <c r="G286" t="str">
        <f t="shared" si="21"/>
        <v>Yes</v>
      </c>
      <c r="H286" t="s">
        <v>124</v>
      </c>
      <c r="I286" t="s">
        <v>28</v>
      </c>
      <c r="J286" s="1">
        <v>32268</v>
      </c>
      <c r="K286" s="2">
        <f t="shared" ca="1" si="22"/>
        <v>38</v>
      </c>
      <c r="L286" t="s">
        <v>29</v>
      </c>
      <c r="M286" t="s">
        <v>41</v>
      </c>
      <c r="N286" t="s">
        <v>31</v>
      </c>
      <c r="O286" t="s">
        <v>32</v>
      </c>
      <c r="P286" t="s">
        <v>33</v>
      </c>
      <c r="Q286" s="1">
        <v>42009</v>
      </c>
      <c r="R286" s="1">
        <v>42412</v>
      </c>
      <c r="S286" s="2">
        <f t="shared" ca="1" si="23"/>
        <v>1.1041095890410959</v>
      </c>
      <c r="T286" s="2" t="str">
        <f t="shared" ca="1" si="24"/>
        <v>0-2 Years</v>
      </c>
      <c r="U286" t="s">
        <v>153</v>
      </c>
      <c r="V286" t="s">
        <v>43</v>
      </c>
      <c r="W286" t="s">
        <v>44</v>
      </c>
      <c r="X286" t="s">
        <v>68</v>
      </c>
      <c r="Y286" t="s">
        <v>84</v>
      </c>
      <c r="Z286" t="s">
        <v>47</v>
      </c>
      <c r="AA286">
        <v>5</v>
      </c>
      <c r="AB286">
        <v>3</v>
      </c>
      <c r="AC286">
        <v>5</v>
      </c>
      <c r="AD286" s="1">
        <v>42109</v>
      </c>
      <c r="AE286">
        <v>0</v>
      </c>
      <c r="AF286">
        <v>11</v>
      </c>
    </row>
    <row r="287" spans="1:32" x14ac:dyDescent="0.3">
      <c r="A287" t="s">
        <v>452</v>
      </c>
      <c r="B287">
        <v>5</v>
      </c>
      <c r="C287">
        <v>4</v>
      </c>
      <c r="D287">
        <v>100416</v>
      </c>
      <c r="E287" t="str">
        <f t="shared" si="20"/>
        <v>High</v>
      </c>
      <c r="F287">
        <v>1</v>
      </c>
      <c r="G287" t="str">
        <f t="shared" si="21"/>
        <v>Yes</v>
      </c>
      <c r="H287" t="s">
        <v>58</v>
      </c>
      <c r="I287" t="s">
        <v>28</v>
      </c>
      <c r="J287" s="1">
        <v>30481</v>
      </c>
      <c r="K287" s="2">
        <f t="shared" ca="1" si="22"/>
        <v>43</v>
      </c>
      <c r="L287" t="s">
        <v>29</v>
      </c>
      <c r="M287" t="s">
        <v>30</v>
      </c>
      <c r="N287" t="s">
        <v>107</v>
      </c>
      <c r="O287" t="s">
        <v>32</v>
      </c>
      <c r="P287" t="s">
        <v>64</v>
      </c>
      <c r="Q287" s="1">
        <v>41323</v>
      </c>
      <c r="R287" s="1">
        <v>43205</v>
      </c>
      <c r="S287" s="2">
        <f t="shared" ca="1" si="23"/>
        <v>5.1561643835616442</v>
      </c>
      <c r="T287" s="2" t="str">
        <f t="shared" ca="1" si="24"/>
        <v>6-10 Years</v>
      </c>
      <c r="U287" t="s">
        <v>153</v>
      </c>
      <c r="V287" t="s">
        <v>43</v>
      </c>
      <c r="W287" t="s">
        <v>59</v>
      </c>
      <c r="X287" t="s">
        <v>60</v>
      </c>
      <c r="Y287" t="s">
        <v>66</v>
      </c>
      <c r="Z287" t="s">
        <v>47</v>
      </c>
      <c r="AA287">
        <v>4.5999999999999996</v>
      </c>
      <c r="AB287">
        <v>3</v>
      </c>
      <c r="AC287">
        <v>4</v>
      </c>
      <c r="AD287" s="1">
        <v>42778</v>
      </c>
      <c r="AE287">
        <v>0</v>
      </c>
      <c r="AF287">
        <v>9</v>
      </c>
    </row>
    <row r="288" spans="1:32" x14ac:dyDescent="0.3">
      <c r="A288" t="s">
        <v>453</v>
      </c>
      <c r="B288">
        <v>5</v>
      </c>
      <c r="C288">
        <v>5</v>
      </c>
      <c r="D288">
        <v>74813</v>
      </c>
      <c r="E288" t="str">
        <f t="shared" si="20"/>
        <v>High</v>
      </c>
      <c r="F288">
        <v>1</v>
      </c>
      <c r="G288" t="str">
        <f t="shared" si="21"/>
        <v>Yes</v>
      </c>
      <c r="H288" t="s">
        <v>48</v>
      </c>
      <c r="I288" t="s">
        <v>28</v>
      </c>
      <c r="J288" s="1">
        <v>31121</v>
      </c>
      <c r="K288" s="2">
        <f t="shared" ca="1" si="22"/>
        <v>41</v>
      </c>
      <c r="L288" t="s">
        <v>49</v>
      </c>
      <c r="M288" t="s">
        <v>30</v>
      </c>
      <c r="N288" t="s">
        <v>31</v>
      </c>
      <c r="O288" t="s">
        <v>32</v>
      </c>
      <c r="P288" t="s">
        <v>33</v>
      </c>
      <c r="Q288" s="1">
        <v>40553</v>
      </c>
      <c r="R288" s="1">
        <v>41822</v>
      </c>
      <c r="S288" s="2">
        <f t="shared" ca="1" si="23"/>
        <v>3.4767123287671233</v>
      </c>
      <c r="T288" s="2" t="str">
        <f t="shared" ca="1" si="24"/>
        <v>3-5 Years</v>
      </c>
      <c r="U288" t="s">
        <v>72</v>
      </c>
      <c r="V288" t="s">
        <v>43</v>
      </c>
      <c r="W288" t="s">
        <v>36</v>
      </c>
      <c r="X288" t="s">
        <v>57</v>
      </c>
      <c r="Y288" t="s">
        <v>38</v>
      </c>
      <c r="Z288" t="s">
        <v>47</v>
      </c>
      <c r="AA288">
        <v>4.4000000000000004</v>
      </c>
      <c r="AB288">
        <v>3</v>
      </c>
      <c r="AC288">
        <v>0</v>
      </c>
      <c r="AD288" s="1">
        <v>41644</v>
      </c>
      <c r="AE288">
        <v>0</v>
      </c>
      <c r="AF288">
        <v>5</v>
      </c>
    </row>
    <row r="289" spans="1:32" x14ac:dyDescent="0.3">
      <c r="A289" t="s">
        <v>454</v>
      </c>
      <c r="B289">
        <v>1</v>
      </c>
      <c r="C289">
        <v>3</v>
      </c>
      <c r="D289">
        <v>76029</v>
      </c>
      <c r="E289" t="str">
        <f t="shared" si="20"/>
        <v>High</v>
      </c>
      <c r="F289">
        <v>0</v>
      </c>
      <c r="G289" t="str">
        <f t="shared" si="21"/>
        <v>No</v>
      </c>
      <c r="H289" t="s">
        <v>124</v>
      </c>
      <c r="I289" t="s">
        <v>28</v>
      </c>
      <c r="J289" s="1">
        <v>25293</v>
      </c>
      <c r="K289" s="2">
        <f t="shared" ca="1" si="22"/>
        <v>57</v>
      </c>
      <c r="L289" t="s">
        <v>29</v>
      </c>
      <c r="M289" t="s">
        <v>41</v>
      </c>
      <c r="N289" t="s">
        <v>80</v>
      </c>
      <c r="O289" t="s">
        <v>32</v>
      </c>
      <c r="P289" t="s">
        <v>33</v>
      </c>
      <c r="Q289" s="1">
        <v>42093</v>
      </c>
      <c r="S289" s="2">
        <f t="shared" ca="1" si="23"/>
        <v>11.016438356164384</v>
      </c>
      <c r="T289" s="2" t="str">
        <f t="shared" ca="1" si="24"/>
        <v>10+ Years</v>
      </c>
      <c r="U289" t="s">
        <v>34</v>
      </c>
      <c r="V289" t="s">
        <v>35</v>
      </c>
      <c r="W289" t="s">
        <v>44</v>
      </c>
      <c r="X289" t="s">
        <v>68</v>
      </c>
      <c r="Y289" t="s">
        <v>63</v>
      </c>
      <c r="Z289" t="s">
        <v>47</v>
      </c>
      <c r="AA289">
        <v>5</v>
      </c>
      <c r="AB289">
        <v>4</v>
      </c>
      <c r="AC289">
        <v>7</v>
      </c>
      <c r="AD289" s="1">
        <v>43479</v>
      </c>
      <c r="AE289">
        <v>0</v>
      </c>
      <c r="AF289">
        <v>8</v>
      </c>
    </row>
    <row r="290" spans="1:32" x14ac:dyDescent="0.3">
      <c r="A290" t="s">
        <v>455</v>
      </c>
      <c r="B290">
        <v>1</v>
      </c>
      <c r="C290">
        <v>6</v>
      </c>
      <c r="D290">
        <v>57859</v>
      </c>
      <c r="E290" t="str">
        <f t="shared" si="20"/>
        <v>Medium</v>
      </c>
      <c r="F290">
        <v>0</v>
      </c>
      <c r="G290" t="str">
        <f t="shared" si="21"/>
        <v>No</v>
      </c>
      <c r="H290" t="s">
        <v>97</v>
      </c>
      <c r="I290" t="s">
        <v>164</v>
      </c>
      <c r="J290" s="1">
        <v>33381</v>
      </c>
      <c r="K290" s="2">
        <f t="shared" ca="1" si="22"/>
        <v>35</v>
      </c>
      <c r="L290" t="s">
        <v>49</v>
      </c>
      <c r="M290" t="s">
        <v>41</v>
      </c>
      <c r="N290" t="s">
        <v>31</v>
      </c>
      <c r="O290" t="s">
        <v>32</v>
      </c>
      <c r="P290" t="s">
        <v>75</v>
      </c>
      <c r="Q290" s="1">
        <v>40729</v>
      </c>
      <c r="S290" s="2">
        <f t="shared" ca="1" si="23"/>
        <v>14.753424657534246</v>
      </c>
      <c r="T290" s="2" t="str">
        <f t="shared" ca="1" si="24"/>
        <v>10+ Years</v>
      </c>
      <c r="U290" t="s">
        <v>34</v>
      </c>
      <c r="V290" t="s">
        <v>35</v>
      </c>
      <c r="W290" t="s">
        <v>99</v>
      </c>
      <c r="X290" t="s">
        <v>100</v>
      </c>
      <c r="Y290" t="s">
        <v>46</v>
      </c>
      <c r="Z290" t="s">
        <v>47</v>
      </c>
      <c r="AA290">
        <v>2.81</v>
      </c>
      <c r="AB290">
        <v>3</v>
      </c>
      <c r="AC290">
        <v>0</v>
      </c>
      <c r="AD290" s="1">
        <v>43482</v>
      </c>
      <c r="AE290">
        <v>0</v>
      </c>
      <c r="AF290">
        <v>16</v>
      </c>
    </row>
    <row r="291" spans="1:32" x14ac:dyDescent="0.3">
      <c r="A291" t="s">
        <v>456</v>
      </c>
      <c r="B291">
        <v>5</v>
      </c>
      <c r="C291">
        <v>5</v>
      </c>
      <c r="D291">
        <v>58523</v>
      </c>
      <c r="E291" t="str">
        <f t="shared" si="20"/>
        <v>Medium</v>
      </c>
      <c r="F291">
        <v>1</v>
      </c>
      <c r="G291" t="str">
        <f t="shared" si="21"/>
        <v>Yes</v>
      </c>
      <c r="H291" t="s">
        <v>27</v>
      </c>
      <c r="I291" t="s">
        <v>28</v>
      </c>
      <c r="J291" s="1">
        <v>31808</v>
      </c>
      <c r="K291" s="2">
        <f t="shared" ca="1" si="22"/>
        <v>39</v>
      </c>
      <c r="L291" t="s">
        <v>29</v>
      </c>
      <c r="M291" t="s">
        <v>53</v>
      </c>
      <c r="N291" t="s">
        <v>31</v>
      </c>
      <c r="O291" t="s">
        <v>32</v>
      </c>
      <c r="P291" t="s">
        <v>33</v>
      </c>
      <c r="Q291" s="1">
        <v>41134</v>
      </c>
      <c r="R291" s="1">
        <v>42405</v>
      </c>
      <c r="S291" s="2">
        <f t="shared" ca="1" si="23"/>
        <v>3.4821917808219176</v>
      </c>
      <c r="T291" s="2" t="str">
        <f t="shared" ca="1" si="24"/>
        <v>3-5 Years</v>
      </c>
      <c r="U291" t="s">
        <v>139</v>
      </c>
      <c r="V291" t="s">
        <v>43</v>
      </c>
      <c r="W291" t="s">
        <v>36</v>
      </c>
      <c r="X291" t="s">
        <v>51</v>
      </c>
      <c r="Y291" t="s">
        <v>38</v>
      </c>
      <c r="Z291" t="s">
        <v>39</v>
      </c>
      <c r="AA291">
        <v>4.5</v>
      </c>
      <c r="AB291">
        <v>5</v>
      </c>
      <c r="AC291">
        <v>0</v>
      </c>
      <c r="AD291" s="1">
        <v>42401</v>
      </c>
      <c r="AE291">
        <v>0</v>
      </c>
      <c r="AF291">
        <v>15</v>
      </c>
    </row>
    <row r="292" spans="1:32" x14ac:dyDescent="0.3">
      <c r="A292" t="s">
        <v>457</v>
      </c>
      <c r="B292">
        <v>1</v>
      </c>
      <c r="C292">
        <v>5</v>
      </c>
      <c r="D292">
        <v>88976</v>
      </c>
      <c r="E292" t="str">
        <f t="shared" si="20"/>
        <v>High</v>
      </c>
      <c r="F292">
        <v>0</v>
      </c>
      <c r="G292" t="str">
        <f t="shared" si="21"/>
        <v>No</v>
      </c>
      <c r="H292" t="s">
        <v>92</v>
      </c>
      <c r="I292" t="s">
        <v>28</v>
      </c>
      <c r="J292" s="1">
        <v>25121</v>
      </c>
      <c r="K292" s="2">
        <f t="shared" ca="1" si="22"/>
        <v>58</v>
      </c>
      <c r="L292" t="s">
        <v>29</v>
      </c>
      <c r="M292" t="s">
        <v>53</v>
      </c>
      <c r="N292" t="s">
        <v>31</v>
      </c>
      <c r="O292" t="s">
        <v>32</v>
      </c>
      <c r="P292" t="s">
        <v>33</v>
      </c>
      <c r="Q292" s="1">
        <v>40756</v>
      </c>
      <c r="S292" s="2">
        <f t="shared" ca="1" si="23"/>
        <v>14.67945205479452</v>
      </c>
      <c r="T292" s="2" t="str">
        <f t="shared" ca="1" si="24"/>
        <v>10+ Years</v>
      </c>
      <c r="U292" t="s">
        <v>34</v>
      </c>
      <c r="V292" t="s">
        <v>35</v>
      </c>
      <c r="W292" t="s">
        <v>36</v>
      </c>
      <c r="X292" t="s">
        <v>94</v>
      </c>
      <c r="Y292" t="s">
        <v>63</v>
      </c>
      <c r="Z292" t="s">
        <v>47</v>
      </c>
      <c r="AA292">
        <v>3.93</v>
      </c>
      <c r="AB292">
        <v>3</v>
      </c>
      <c r="AC292">
        <v>0</v>
      </c>
      <c r="AD292" s="1">
        <v>43523</v>
      </c>
      <c r="AE292">
        <v>0</v>
      </c>
      <c r="AF292">
        <v>19</v>
      </c>
    </row>
    <row r="293" spans="1:32" x14ac:dyDescent="0.3">
      <c r="A293" t="s">
        <v>458</v>
      </c>
      <c r="B293">
        <v>1</v>
      </c>
      <c r="C293">
        <v>6</v>
      </c>
      <c r="D293">
        <v>55875</v>
      </c>
      <c r="E293" t="str">
        <f t="shared" si="20"/>
        <v>Medium</v>
      </c>
      <c r="F293">
        <v>0</v>
      </c>
      <c r="G293" t="str">
        <f t="shared" si="21"/>
        <v>No</v>
      </c>
      <c r="H293" t="s">
        <v>97</v>
      </c>
      <c r="I293" t="s">
        <v>165</v>
      </c>
      <c r="J293" s="1">
        <v>32700</v>
      </c>
      <c r="K293" s="2">
        <f t="shared" ca="1" si="22"/>
        <v>37</v>
      </c>
      <c r="L293" t="s">
        <v>29</v>
      </c>
      <c r="M293" t="s">
        <v>30</v>
      </c>
      <c r="N293" t="s">
        <v>31</v>
      </c>
      <c r="O293" t="s">
        <v>32</v>
      </c>
      <c r="P293" t="s">
        <v>83</v>
      </c>
      <c r="Q293" s="1">
        <v>40973</v>
      </c>
      <c r="S293" s="2">
        <f t="shared" ca="1" si="23"/>
        <v>14.084931506849315</v>
      </c>
      <c r="T293" s="2" t="str">
        <f t="shared" ca="1" si="24"/>
        <v>10+ Years</v>
      </c>
      <c r="U293" t="s">
        <v>34</v>
      </c>
      <c r="V293" t="s">
        <v>35</v>
      </c>
      <c r="W293" t="s">
        <v>99</v>
      </c>
      <c r="X293" t="s">
        <v>100</v>
      </c>
      <c r="Y293" t="s">
        <v>119</v>
      </c>
      <c r="Z293" t="s">
        <v>47</v>
      </c>
      <c r="AA293">
        <v>4.5</v>
      </c>
      <c r="AB293">
        <v>4</v>
      </c>
      <c r="AC293">
        <v>0</v>
      </c>
      <c r="AD293" s="1">
        <v>43483</v>
      </c>
      <c r="AE293">
        <v>0</v>
      </c>
      <c r="AF293">
        <v>11</v>
      </c>
    </row>
    <row r="294" spans="1:32" x14ac:dyDescent="0.3">
      <c r="A294" t="s">
        <v>459</v>
      </c>
      <c r="B294">
        <v>4</v>
      </c>
      <c r="C294">
        <v>3</v>
      </c>
      <c r="D294">
        <v>113999</v>
      </c>
      <c r="E294" t="str">
        <f t="shared" si="20"/>
        <v>High</v>
      </c>
      <c r="F294">
        <v>1</v>
      </c>
      <c r="G294" t="str">
        <f t="shared" si="21"/>
        <v>Yes</v>
      </c>
      <c r="H294" t="s">
        <v>81</v>
      </c>
      <c r="I294" t="s">
        <v>28</v>
      </c>
      <c r="J294" s="1">
        <v>31631</v>
      </c>
      <c r="K294" s="2">
        <f t="shared" ca="1" si="22"/>
        <v>40</v>
      </c>
      <c r="L294" t="s">
        <v>29</v>
      </c>
      <c r="M294" t="s">
        <v>41</v>
      </c>
      <c r="N294" t="s">
        <v>31</v>
      </c>
      <c r="O294" t="s">
        <v>32</v>
      </c>
      <c r="P294" t="s">
        <v>64</v>
      </c>
      <c r="Q294" s="1">
        <v>42051</v>
      </c>
      <c r="R294" s="1">
        <v>42788</v>
      </c>
      <c r="S294" s="2">
        <f t="shared" ca="1" si="23"/>
        <v>2.0191780821917806</v>
      </c>
      <c r="T294" s="2" t="str">
        <f t="shared" ca="1" si="24"/>
        <v>3-5 Years</v>
      </c>
      <c r="U294" t="s">
        <v>123</v>
      </c>
      <c r="V294" t="s">
        <v>79</v>
      </c>
      <c r="W294" t="s">
        <v>44</v>
      </c>
      <c r="X294" t="s">
        <v>45</v>
      </c>
      <c r="Y294" t="s">
        <v>63</v>
      </c>
      <c r="Z294" t="s">
        <v>47</v>
      </c>
      <c r="AA294">
        <v>4.33</v>
      </c>
      <c r="AB294">
        <v>3</v>
      </c>
      <c r="AC294">
        <v>7</v>
      </c>
      <c r="AD294" s="1">
        <v>42781</v>
      </c>
      <c r="AE294">
        <v>0</v>
      </c>
      <c r="AF294">
        <v>9</v>
      </c>
    </row>
    <row r="295" spans="1:32" x14ac:dyDescent="0.3">
      <c r="A295" t="s">
        <v>460</v>
      </c>
      <c r="B295">
        <v>4</v>
      </c>
      <c r="C295">
        <v>5</v>
      </c>
      <c r="D295">
        <v>49773</v>
      </c>
      <c r="E295" t="str">
        <f t="shared" si="20"/>
        <v>Medium</v>
      </c>
      <c r="F295">
        <v>1</v>
      </c>
      <c r="G295" t="str">
        <f t="shared" si="21"/>
        <v>Yes</v>
      </c>
      <c r="H295" t="s">
        <v>27</v>
      </c>
      <c r="I295" t="s">
        <v>28</v>
      </c>
      <c r="J295" s="1">
        <v>31566</v>
      </c>
      <c r="K295" s="2">
        <f t="shared" ca="1" si="22"/>
        <v>40</v>
      </c>
      <c r="L295" t="s">
        <v>49</v>
      </c>
      <c r="M295" t="s">
        <v>41</v>
      </c>
      <c r="N295" t="s">
        <v>31</v>
      </c>
      <c r="O295" t="s">
        <v>32</v>
      </c>
      <c r="P295" t="s">
        <v>33</v>
      </c>
      <c r="Q295" s="1">
        <v>40812</v>
      </c>
      <c r="R295" s="1">
        <v>42408</v>
      </c>
      <c r="S295" s="2">
        <f t="shared" ca="1" si="23"/>
        <v>4.3726027397260276</v>
      </c>
      <c r="T295" s="2" t="str">
        <f t="shared" ca="1" si="24"/>
        <v>3-5 Years</v>
      </c>
      <c r="U295" t="s">
        <v>166</v>
      </c>
      <c r="V295" t="s">
        <v>79</v>
      </c>
      <c r="W295" t="s">
        <v>36</v>
      </c>
      <c r="X295" t="s">
        <v>76</v>
      </c>
      <c r="Y295" t="s">
        <v>56</v>
      </c>
      <c r="Z295" t="s">
        <v>39</v>
      </c>
      <c r="AA295">
        <v>4.3</v>
      </c>
      <c r="AB295">
        <v>5</v>
      </c>
      <c r="AC295">
        <v>0</v>
      </c>
      <c r="AD295" s="1">
        <v>42036</v>
      </c>
      <c r="AE295">
        <v>0</v>
      </c>
      <c r="AF295">
        <v>18</v>
      </c>
    </row>
    <row r="296" spans="1:32" x14ac:dyDescent="0.3">
      <c r="A296" t="s">
        <v>461</v>
      </c>
      <c r="B296">
        <v>2</v>
      </c>
      <c r="C296">
        <v>5</v>
      </c>
      <c r="D296">
        <v>62068</v>
      </c>
      <c r="E296" t="str">
        <f t="shared" si="20"/>
        <v>High</v>
      </c>
      <c r="F296">
        <v>0</v>
      </c>
      <c r="G296" t="str">
        <f t="shared" si="21"/>
        <v>No</v>
      </c>
      <c r="H296" t="s">
        <v>27</v>
      </c>
      <c r="I296" t="s">
        <v>28</v>
      </c>
      <c r="J296" s="1">
        <v>31143</v>
      </c>
      <c r="K296" s="2">
        <f t="shared" ca="1" si="22"/>
        <v>41</v>
      </c>
      <c r="L296" t="s">
        <v>49</v>
      </c>
      <c r="M296" t="s">
        <v>30</v>
      </c>
      <c r="N296" t="s">
        <v>31</v>
      </c>
      <c r="O296" t="s">
        <v>32</v>
      </c>
      <c r="P296" t="s">
        <v>33</v>
      </c>
      <c r="Q296" s="1">
        <v>42190</v>
      </c>
      <c r="S296" s="2">
        <f t="shared" ca="1" si="23"/>
        <v>10.75068493150685</v>
      </c>
      <c r="T296" s="2" t="str">
        <f t="shared" ca="1" si="24"/>
        <v>10+ Years</v>
      </c>
      <c r="U296" t="s">
        <v>34</v>
      </c>
      <c r="V296" t="s">
        <v>35</v>
      </c>
      <c r="W296" t="s">
        <v>36</v>
      </c>
      <c r="X296" t="s">
        <v>37</v>
      </c>
      <c r="Y296" t="s">
        <v>38</v>
      </c>
      <c r="Z296" t="s">
        <v>47</v>
      </c>
      <c r="AA296">
        <v>3.21</v>
      </c>
      <c r="AB296">
        <v>3</v>
      </c>
      <c r="AC296">
        <v>0</v>
      </c>
      <c r="AD296" s="1">
        <v>43494</v>
      </c>
      <c r="AE296">
        <v>0</v>
      </c>
      <c r="AF296">
        <v>7</v>
      </c>
    </row>
    <row r="297" spans="1:32" x14ac:dyDescent="0.3">
      <c r="A297" t="s">
        <v>462</v>
      </c>
      <c r="B297">
        <v>1</v>
      </c>
      <c r="C297">
        <v>5</v>
      </c>
      <c r="D297">
        <v>66541</v>
      </c>
      <c r="E297" t="str">
        <f t="shared" si="20"/>
        <v>High</v>
      </c>
      <c r="F297">
        <v>0</v>
      </c>
      <c r="G297" t="str">
        <f t="shared" si="21"/>
        <v>No</v>
      </c>
      <c r="H297" t="s">
        <v>48</v>
      </c>
      <c r="I297" t="s">
        <v>28</v>
      </c>
      <c r="J297" s="1">
        <v>27800</v>
      </c>
      <c r="K297" s="2">
        <f t="shared" ca="1" si="22"/>
        <v>50</v>
      </c>
      <c r="L297" t="s">
        <v>29</v>
      </c>
      <c r="M297" t="s">
        <v>30</v>
      </c>
      <c r="N297" t="s">
        <v>31</v>
      </c>
      <c r="O297" t="s">
        <v>32</v>
      </c>
      <c r="P297" t="s">
        <v>64</v>
      </c>
      <c r="Q297" s="1">
        <v>41869</v>
      </c>
      <c r="S297" s="2">
        <f t="shared" ca="1" si="23"/>
        <v>11.63013698630137</v>
      </c>
      <c r="T297" s="2" t="str">
        <f t="shared" ca="1" si="24"/>
        <v>10+ Years</v>
      </c>
      <c r="U297" t="s">
        <v>34</v>
      </c>
      <c r="V297" t="s">
        <v>35</v>
      </c>
      <c r="W297" t="s">
        <v>36</v>
      </c>
      <c r="X297" t="s">
        <v>62</v>
      </c>
      <c r="Y297" t="s">
        <v>63</v>
      </c>
      <c r="Z297" t="s">
        <v>47</v>
      </c>
      <c r="AA297">
        <v>3.11</v>
      </c>
      <c r="AB297">
        <v>5</v>
      </c>
      <c r="AC297">
        <v>0</v>
      </c>
      <c r="AD297" s="1">
        <v>43508</v>
      </c>
      <c r="AE297">
        <v>0</v>
      </c>
      <c r="AF297">
        <v>4</v>
      </c>
    </row>
    <row r="298" spans="1:32" x14ac:dyDescent="0.3">
      <c r="A298" t="s">
        <v>463</v>
      </c>
      <c r="B298">
        <v>5</v>
      </c>
      <c r="C298">
        <v>5</v>
      </c>
      <c r="D298">
        <v>80512</v>
      </c>
      <c r="E298" t="str">
        <f t="shared" si="20"/>
        <v>High</v>
      </c>
      <c r="F298">
        <v>1</v>
      </c>
      <c r="G298" t="str">
        <f t="shared" si="21"/>
        <v>Yes</v>
      </c>
      <c r="H298" t="s">
        <v>92</v>
      </c>
      <c r="I298" t="s">
        <v>28</v>
      </c>
      <c r="J298" s="1">
        <v>20407</v>
      </c>
      <c r="K298" s="2">
        <f t="shared" ca="1" si="22"/>
        <v>71</v>
      </c>
      <c r="L298" t="s">
        <v>49</v>
      </c>
      <c r="M298" t="s">
        <v>41</v>
      </c>
      <c r="N298" t="s">
        <v>31</v>
      </c>
      <c r="O298" t="s">
        <v>32</v>
      </c>
      <c r="P298" t="s">
        <v>64</v>
      </c>
      <c r="Q298" s="1">
        <v>40812</v>
      </c>
      <c r="R298" s="1">
        <v>40910</v>
      </c>
      <c r="S298" s="2">
        <f t="shared" ca="1" si="23"/>
        <v>0.26849315068493151</v>
      </c>
      <c r="T298" s="2" t="str">
        <f t="shared" ca="1" si="24"/>
        <v>0-2 Years</v>
      </c>
      <c r="U298" t="s">
        <v>70</v>
      </c>
      <c r="V298" t="s">
        <v>43</v>
      </c>
      <c r="W298" t="s">
        <v>36</v>
      </c>
      <c r="X298" t="s">
        <v>94</v>
      </c>
      <c r="Y298" t="s">
        <v>66</v>
      </c>
      <c r="Z298" t="s">
        <v>47</v>
      </c>
      <c r="AA298">
        <v>4.5</v>
      </c>
      <c r="AB298">
        <v>3</v>
      </c>
      <c r="AC298">
        <v>0</v>
      </c>
      <c r="AD298" s="1">
        <v>40910</v>
      </c>
      <c r="AE298">
        <v>0</v>
      </c>
      <c r="AF298">
        <v>5</v>
      </c>
    </row>
    <row r="299" spans="1:32" x14ac:dyDescent="0.3">
      <c r="A299" t="s">
        <v>464</v>
      </c>
      <c r="B299">
        <v>5</v>
      </c>
      <c r="C299">
        <v>5</v>
      </c>
      <c r="D299">
        <v>50274</v>
      </c>
      <c r="E299" t="str">
        <f t="shared" si="20"/>
        <v>Medium</v>
      </c>
      <c r="F299">
        <v>1</v>
      </c>
      <c r="G299" t="str">
        <f t="shared" si="21"/>
        <v>Yes</v>
      </c>
      <c r="H299" t="s">
        <v>27</v>
      </c>
      <c r="I299" t="s">
        <v>28</v>
      </c>
      <c r="J299" s="1">
        <v>29435</v>
      </c>
      <c r="K299" s="2">
        <f t="shared" ca="1" si="22"/>
        <v>46</v>
      </c>
      <c r="L299" t="s">
        <v>49</v>
      </c>
      <c r="M299" t="s">
        <v>30</v>
      </c>
      <c r="N299" t="s">
        <v>31</v>
      </c>
      <c r="O299" t="s">
        <v>32</v>
      </c>
      <c r="P299" t="s">
        <v>33</v>
      </c>
      <c r="Q299" s="1">
        <v>41134</v>
      </c>
      <c r="R299" s="1">
        <v>42248</v>
      </c>
      <c r="S299" s="2">
        <f t="shared" ca="1" si="23"/>
        <v>3.0520547945205481</v>
      </c>
      <c r="T299" s="2" t="str">
        <f t="shared" ca="1" si="24"/>
        <v>3-5 Years</v>
      </c>
      <c r="U299" t="s">
        <v>42</v>
      </c>
      <c r="V299" t="s">
        <v>43</v>
      </c>
      <c r="W299" t="s">
        <v>36</v>
      </c>
      <c r="X299" t="s">
        <v>52</v>
      </c>
      <c r="Y299" t="s">
        <v>84</v>
      </c>
      <c r="Z299" t="s">
        <v>85</v>
      </c>
      <c r="AA299">
        <v>2.5</v>
      </c>
      <c r="AB299">
        <v>3</v>
      </c>
      <c r="AC299">
        <v>0</v>
      </c>
      <c r="AD299" s="1">
        <v>41887</v>
      </c>
      <c r="AE299">
        <v>6</v>
      </c>
      <c r="AF299">
        <v>13</v>
      </c>
    </row>
    <row r="300" spans="1:32" x14ac:dyDescent="0.3">
      <c r="A300" t="s">
        <v>465</v>
      </c>
      <c r="B300">
        <v>1</v>
      </c>
      <c r="C300">
        <v>3</v>
      </c>
      <c r="D300">
        <v>84903</v>
      </c>
      <c r="E300" t="str">
        <f t="shared" si="20"/>
        <v>High</v>
      </c>
      <c r="F300">
        <v>0</v>
      </c>
      <c r="G300" t="str">
        <f t="shared" si="21"/>
        <v>No</v>
      </c>
      <c r="H300" t="s">
        <v>144</v>
      </c>
      <c r="I300" t="s">
        <v>28</v>
      </c>
      <c r="J300" s="1">
        <v>29775</v>
      </c>
      <c r="K300" s="2">
        <f t="shared" ca="1" si="22"/>
        <v>45</v>
      </c>
      <c r="L300" t="s">
        <v>29</v>
      </c>
      <c r="M300" t="s">
        <v>30</v>
      </c>
      <c r="N300" t="s">
        <v>31</v>
      </c>
      <c r="O300" t="s">
        <v>32</v>
      </c>
      <c r="P300" t="s">
        <v>83</v>
      </c>
      <c r="Q300" s="1">
        <v>42781</v>
      </c>
      <c r="S300" s="2">
        <f t="shared" ca="1" si="23"/>
        <v>9.131506849315068</v>
      </c>
      <c r="T300" s="2" t="str">
        <f t="shared" ca="1" si="24"/>
        <v>6-10 Years</v>
      </c>
      <c r="U300" t="s">
        <v>34</v>
      </c>
      <c r="V300" t="s">
        <v>35</v>
      </c>
      <c r="W300" t="s">
        <v>44</v>
      </c>
      <c r="X300" t="s">
        <v>117</v>
      </c>
      <c r="Y300" t="s">
        <v>46</v>
      </c>
      <c r="Z300" t="s">
        <v>47</v>
      </c>
      <c r="AA300">
        <v>3.42</v>
      </c>
      <c r="AB300">
        <v>4</v>
      </c>
      <c r="AC300">
        <v>7</v>
      </c>
      <c r="AD300" s="1">
        <v>43469</v>
      </c>
      <c r="AE300">
        <v>0</v>
      </c>
      <c r="AF300">
        <v>17</v>
      </c>
    </row>
    <row r="301" spans="1:32" x14ac:dyDescent="0.3">
      <c r="A301" t="s">
        <v>466</v>
      </c>
      <c r="B301">
        <v>1</v>
      </c>
      <c r="C301">
        <v>3</v>
      </c>
      <c r="D301">
        <v>107226</v>
      </c>
      <c r="E301" t="str">
        <f t="shared" si="20"/>
        <v>High</v>
      </c>
      <c r="F301">
        <v>0</v>
      </c>
      <c r="G301" t="str">
        <f t="shared" si="21"/>
        <v>No</v>
      </c>
      <c r="H301" t="s">
        <v>110</v>
      </c>
      <c r="I301" t="s">
        <v>28</v>
      </c>
      <c r="J301" s="1">
        <v>28612</v>
      </c>
      <c r="K301" s="2">
        <f t="shared" ca="1" si="22"/>
        <v>48</v>
      </c>
      <c r="L301" t="s">
        <v>49</v>
      </c>
      <c r="M301" t="s">
        <v>61</v>
      </c>
      <c r="N301" t="s">
        <v>31</v>
      </c>
      <c r="O301" t="s">
        <v>32</v>
      </c>
      <c r="P301" t="s">
        <v>83</v>
      </c>
      <c r="Q301" s="1">
        <v>42093</v>
      </c>
      <c r="S301" s="2">
        <f t="shared" ca="1" si="23"/>
        <v>11.016438356164384</v>
      </c>
      <c r="T301" s="2" t="str">
        <f t="shared" ca="1" si="24"/>
        <v>10+ Years</v>
      </c>
      <c r="U301" t="s">
        <v>34</v>
      </c>
      <c r="V301" t="s">
        <v>35</v>
      </c>
      <c r="W301" t="s">
        <v>44</v>
      </c>
      <c r="X301" t="s">
        <v>68</v>
      </c>
      <c r="Y301" t="s">
        <v>63</v>
      </c>
      <c r="Z301" t="s">
        <v>47</v>
      </c>
      <c r="AA301">
        <v>4.2</v>
      </c>
      <c r="AB301">
        <v>4</v>
      </c>
      <c r="AC301">
        <v>8</v>
      </c>
      <c r="AD301" s="1">
        <v>43501</v>
      </c>
      <c r="AE301">
        <v>0</v>
      </c>
      <c r="AF301">
        <v>7</v>
      </c>
    </row>
    <row r="302" spans="1:32" x14ac:dyDescent="0.3">
      <c r="A302" t="s">
        <v>467</v>
      </c>
      <c r="B302">
        <v>5</v>
      </c>
      <c r="C302">
        <v>5</v>
      </c>
      <c r="D302">
        <v>58371</v>
      </c>
      <c r="E302" t="str">
        <f t="shared" si="20"/>
        <v>Medium</v>
      </c>
      <c r="F302">
        <v>1</v>
      </c>
      <c r="G302" t="str">
        <f t="shared" si="21"/>
        <v>Yes</v>
      </c>
      <c r="H302" t="s">
        <v>27</v>
      </c>
      <c r="I302" t="s">
        <v>28</v>
      </c>
      <c r="J302" s="1">
        <v>31921</v>
      </c>
      <c r="K302" s="2">
        <f t="shared" ca="1" si="22"/>
        <v>39</v>
      </c>
      <c r="L302" t="s">
        <v>29</v>
      </c>
      <c r="M302" t="s">
        <v>30</v>
      </c>
      <c r="N302" t="s">
        <v>31</v>
      </c>
      <c r="O302" t="s">
        <v>69</v>
      </c>
      <c r="P302" t="s">
        <v>33</v>
      </c>
      <c r="Q302" s="1">
        <v>40553</v>
      </c>
      <c r="R302" s="1">
        <v>41774</v>
      </c>
      <c r="S302" s="2">
        <f t="shared" ca="1" si="23"/>
        <v>3.3452054794520549</v>
      </c>
      <c r="T302" s="2" t="str">
        <f t="shared" ca="1" si="24"/>
        <v>3-5 Years</v>
      </c>
      <c r="U302" t="s">
        <v>50</v>
      </c>
      <c r="V302" t="s">
        <v>43</v>
      </c>
      <c r="W302" t="s">
        <v>36</v>
      </c>
      <c r="X302" t="s">
        <v>55</v>
      </c>
      <c r="Y302" t="s">
        <v>38</v>
      </c>
      <c r="Z302" t="s">
        <v>47</v>
      </c>
      <c r="AA302">
        <v>5</v>
      </c>
      <c r="AB302">
        <v>5</v>
      </c>
      <c r="AC302">
        <v>0</v>
      </c>
      <c r="AD302" s="1">
        <v>41774</v>
      </c>
      <c r="AE302">
        <v>0</v>
      </c>
      <c r="AF302">
        <v>11</v>
      </c>
    </row>
    <row r="303" spans="1:32" x14ac:dyDescent="0.3">
      <c r="A303" t="s">
        <v>468</v>
      </c>
      <c r="B303">
        <v>5</v>
      </c>
      <c r="C303">
        <v>5</v>
      </c>
      <c r="D303">
        <v>55140</v>
      </c>
      <c r="E303" t="str">
        <f t="shared" si="20"/>
        <v>Medium</v>
      </c>
      <c r="F303">
        <v>1</v>
      </c>
      <c r="G303" t="str">
        <f t="shared" si="21"/>
        <v>Yes</v>
      </c>
      <c r="H303" t="s">
        <v>27</v>
      </c>
      <c r="I303" t="s">
        <v>28</v>
      </c>
      <c r="J303" s="1">
        <v>23994</v>
      </c>
      <c r="K303" s="2">
        <f t="shared" ca="1" si="22"/>
        <v>61</v>
      </c>
      <c r="L303" t="s">
        <v>29</v>
      </c>
      <c r="M303" t="s">
        <v>41</v>
      </c>
      <c r="N303" t="s">
        <v>80</v>
      </c>
      <c r="O303" t="s">
        <v>32</v>
      </c>
      <c r="P303" t="s">
        <v>33</v>
      </c>
      <c r="Q303" s="1">
        <v>40679</v>
      </c>
      <c r="R303" s="1">
        <v>42254</v>
      </c>
      <c r="S303" s="2">
        <f t="shared" ca="1" si="23"/>
        <v>4.3150684931506849</v>
      </c>
      <c r="T303" s="2" t="str">
        <f t="shared" ca="1" si="24"/>
        <v>3-5 Years</v>
      </c>
      <c r="U303" t="s">
        <v>72</v>
      </c>
      <c r="V303" t="s">
        <v>43</v>
      </c>
      <c r="W303" t="s">
        <v>36</v>
      </c>
      <c r="X303" t="s">
        <v>57</v>
      </c>
      <c r="Y303" t="s">
        <v>119</v>
      </c>
      <c r="Z303" t="s">
        <v>47</v>
      </c>
      <c r="AA303">
        <v>5</v>
      </c>
      <c r="AB303">
        <v>3</v>
      </c>
      <c r="AC303">
        <v>0</v>
      </c>
      <c r="AD303" s="1">
        <v>42050</v>
      </c>
      <c r="AE303">
        <v>0</v>
      </c>
      <c r="AF303">
        <v>7</v>
      </c>
    </row>
    <row r="304" spans="1:32" x14ac:dyDescent="0.3">
      <c r="A304" t="s">
        <v>469</v>
      </c>
      <c r="B304">
        <v>5</v>
      </c>
      <c r="C304">
        <v>5</v>
      </c>
      <c r="D304">
        <v>58062</v>
      </c>
      <c r="E304" t="str">
        <f t="shared" si="20"/>
        <v>Medium</v>
      </c>
      <c r="F304">
        <v>1</v>
      </c>
      <c r="G304" t="str">
        <f t="shared" si="21"/>
        <v>Yes</v>
      </c>
      <c r="H304" t="s">
        <v>27</v>
      </c>
      <c r="I304" t="s">
        <v>28</v>
      </c>
      <c r="J304" s="1">
        <v>30527</v>
      </c>
      <c r="K304" s="2">
        <f t="shared" ca="1" si="22"/>
        <v>43</v>
      </c>
      <c r="L304" t="s">
        <v>49</v>
      </c>
      <c r="M304" t="s">
        <v>53</v>
      </c>
      <c r="N304" t="s">
        <v>31</v>
      </c>
      <c r="O304" t="s">
        <v>32</v>
      </c>
      <c r="P304" t="s">
        <v>33</v>
      </c>
      <c r="Q304" s="1">
        <v>40553</v>
      </c>
      <c r="R304" s="1">
        <v>41043</v>
      </c>
      <c r="S304" s="2">
        <f t="shared" ca="1" si="23"/>
        <v>1.3424657534246576</v>
      </c>
      <c r="T304" s="2" t="str">
        <f t="shared" ca="1" si="24"/>
        <v>0-2 Years</v>
      </c>
      <c r="U304" t="s">
        <v>70</v>
      </c>
      <c r="V304" t="s">
        <v>43</v>
      </c>
      <c r="W304" t="s">
        <v>36</v>
      </c>
      <c r="X304" t="s">
        <v>62</v>
      </c>
      <c r="Y304" t="s">
        <v>56</v>
      </c>
      <c r="Z304" t="s">
        <v>47</v>
      </c>
      <c r="AA304">
        <v>3.6</v>
      </c>
      <c r="AB304">
        <v>5</v>
      </c>
      <c r="AC304">
        <v>0</v>
      </c>
      <c r="AD304" s="1">
        <v>40580</v>
      </c>
      <c r="AE304">
        <v>0</v>
      </c>
      <c r="AF304">
        <v>9</v>
      </c>
    </row>
    <row r="305" spans="1:32" x14ac:dyDescent="0.3">
      <c r="A305" t="s">
        <v>470</v>
      </c>
      <c r="B305">
        <v>5</v>
      </c>
      <c r="C305">
        <v>5</v>
      </c>
      <c r="D305">
        <v>59728</v>
      </c>
      <c r="E305" t="str">
        <f t="shared" si="20"/>
        <v>Medium</v>
      </c>
      <c r="F305">
        <v>1</v>
      </c>
      <c r="G305" t="str">
        <f t="shared" si="21"/>
        <v>Yes</v>
      </c>
      <c r="H305" t="s">
        <v>27</v>
      </c>
      <c r="I305" t="s">
        <v>28</v>
      </c>
      <c r="J305" s="1">
        <v>25478</v>
      </c>
      <c r="K305" s="2">
        <f t="shared" ca="1" si="22"/>
        <v>57</v>
      </c>
      <c r="L305" t="s">
        <v>49</v>
      </c>
      <c r="M305" t="s">
        <v>30</v>
      </c>
      <c r="N305" t="s">
        <v>31</v>
      </c>
      <c r="O305" t="s">
        <v>69</v>
      </c>
      <c r="P305" t="s">
        <v>64</v>
      </c>
      <c r="Q305" s="1">
        <v>40917</v>
      </c>
      <c r="R305" s="1">
        <v>42182</v>
      </c>
      <c r="S305" s="2">
        <f t="shared" ca="1" si="23"/>
        <v>3.4657534246575343</v>
      </c>
      <c r="T305" s="2" t="str">
        <f t="shared" ca="1" si="24"/>
        <v>3-5 Years</v>
      </c>
      <c r="U305" t="s">
        <v>106</v>
      </c>
      <c r="V305" t="s">
        <v>43</v>
      </c>
      <c r="W305" t="s">
        <v>36</v>
      </c>
      <c r="X305" t="s">
        <v>62</v>
      </c>
      <c r="Y305" t="s">
        <v>66</v>
      </c>
      <c r="Z305" t="s">
        <v>47</v>
      </c>
      <c r="AA305">
        <v>4.3</v>
      </c>
      <c r="AB305">
        <v>4</v>
      </c>
      <c r="AC305">
        <v>0</v>
      </c>
      <c r="AD305" s="1">
        <v>41792</v>
      </c>
      <c r="AE305">
        <v>0</v>
      </c>
      <c r="AF305">
        <v>16</v>
      </c>
    </row>
    <row r="306" spans="1:32" x14ac:dyDescent="0.3">
      <c r="A306" t="s">
        <v>471</v>
      </c>
      <c r="B306">
        <v>5</v>
      </c>
      <c r="C306">
        <v>5</v>
      </c>
      <c r="D306">
        <v>70507</v>
      </c>
      <c r="E306" t="str">
        <f t="shared" si="20"/>
        <v>High</v>
      </c>
      <c r="F306">
        <v>1</v>
      </c>
      <c r="G306" t="str">
        <f t="shared" si="21"/>
        <v>Yes</v>
      </c>
      <c r="H306" t="s">
        <v>48</v>
      </c>
      <c r="I306" t="s">
        <v>28</v>
      </c>
      <c r="J306" s="1">
        <v>21496</v>
      </c>
      <c r="K306" s="2">
        <f t="shared" ca="1" si="22"/>
        <v>68</v>
      </c>
      <c r="L306" t="s">
        <v>29</v>
      </c>
      <c r="M306" t="s">
        <v>30</v>
      </c>
      <c r="N306" t="s">
        <v>31</v>
      </c>
      <c r="O306" t="s">
        <v>32</v>
      </c>
      <c r="P306" t="s">
        <v>33</v>
      </c>
      <c r="Q306" s="1">
        <v>41281</v>
      </c>
      <c r="R306" s="1">
        <v>42421</v>
      </c>
      <c r="S306" s="2">
        <f t="shared" ca="1" si="23"/>
        <v>3.1232876712328768</v>
      </c>
      <c r="T306" s="2" t="str">
        <f t="shared" ca="1" si="24"/>
        <v>3-5 Years</v>
      </c>
      <c r="U306" t="s">
        <v>93</v>
      </c>
      <c r="V306" t="s">
        <v>43</v>
      </c>
      <c r="W306" t="s">
        <v>36</v>
      </c>
      <c r="X306" t="s">
        <v>65</v>
      </c>
      <c r="Y306" t="s">
        <v>38</v>
      </c>
      <c r="Z306" t="s">
        <v>39</v>
      </c>
      <c r="AA306">
        <v>5</v>
      </c>
      <c r="AB306">
        <v>3</v>
      </c>
      <c r="AC306">
        <v>0</v>
      </c>
      <c r="AD306" s="1">
        <v>42388</v>
      </c>
      <c r="AE306">
        <v>0</v>
      </c>
      <c r="AF306">
        <v>7</v>
      </c>
    </row>
    <row r="307" spans="1:32" x14ac:dyDescent="0.3">
      <c r="A307" t="s">
        <v>472</v>
      </c>
      <c r="B307">
        <v>1</v>
      </c>
      <c r="C307">
        <v>5</v>
      </c>
      <c r="D307">
        <v>60446</v>
      </c>
      <c r="E307" t="str">
        <f t="shared" si="20"/>
        <v>High</v>
      </c>
      <c r="F307">
        <v>0</v>
      </c>
      <c r="G307" t="str">
        <f t="shared" si="21"/>
        <v>No</v>
      </c>
      <c r="H307" t="s">
        <v>48</v>
      </c>
      <c r="I307" t="s">
        <v>28</v>
      </c>
      <c r="J307" s="1">
        <v>31157</v>
      </c>
      <c r="K307" s="2">
        <f t="shared" ca="1" si="22"/>
        <v>41</v>
      </c>
      <c r="L307" t="s">
        <v>49</v>
      </c>
      <c r="M307" t="s">
        <v>30</v>
      </c>
      <c r="N307" t="s">
        <v>31</v>
      </c>
      <c r="O307" t="s">
        <v>32</v>
      </c>
      <c r="P307" t="s">
        <v>33</v>
      </c>
      <c r="Q307" s="1">
        <v>41911</v>
      </c>
      <c r="S307" s="2">
        <f t="shared" ca="1" si="23"/>
        <v>11.515068493150684</v>
      </c>
      <c r="T307" s="2" t="str">
        <f t="shared" ca="1" si="24"/>
        <v>10+ Years</v>
      </c>
      <c r="U307" t="s">
        <v>34</v>
      </c>
      <c r="V307" t="s">
        <v>35</v>
      </c>
      <c r="W307" t="s">
        <v>36</v>
      </c>
      <c r="X307" t="s">
        <v>71</v>
      </c>
      <c r="Y307" t="s">
        <v>38</v>
      </c>
      <c r="Z307" t="s">
        <v>47</v>
      </c>
      <c r="AA307">
        <v>3.4</v>
      </c>
      <c r="AB307">
        <v>4</v>
      </c>
      <c r="AC307">
        <v>0</v>
      </c>
      <c r="AD307" s="1">
        <v>43517</v>
      </c>
      <c r="AE307">
        <v>0</v>
      </c>
      <c r="AF307">
        <v>14</v>
      </c>
    </row>
    <row r="308" spans="1:32" x14ac:dyDescent="0.3">
      <c r="A308" t="s">
        <v>473</v>
      </c>
      <c r="B308">
        <v>1</v>
      </c>
      <c r="C308">
        <v>5</v>
      </c>
      <c r="D308">
        <v>65893</v>
      </c>
      <c r="E308" t="str">
        <f t="shared" si="20"/>
        <v>High</v>
      </c>
      <c r="F308">
        <v>0</v>
      </c>
      <c r="G308" t="str">
        <f t="shared" si="21"/>
        <v>No</v>
      </c>
      <c r="H308" t="s">
        <v>48</v>
      </c>
      <c r="I308" t="s">
        <v>28</v>
      </c>
      <c r="J308" s="1">
        <v>31178</v>
      </c>
      <c r="K308" s="2">
        <f t="shared" ca="1" si="22"/>
        <v>41</v>
      </c>
      <c r="L308" t="s">
        <v>29</v>
      </c>
      <c r="M308" t="s">
        <v>30</v>
      </c>
      <c r="N308" t="s">
        <v>31</v>
      </c>
      <c r="O308" t="s">
        <v>32</v>
      </c>
      <c r="P308" t="s">
        <v>33</v>
      </c>
      <c r="Q308" s="1">
        <v>41827</v>
      </c>
      <c r="S308" s="2">
        <f t="shared" ca="1" si="23"/>
        <v>11.745205479452055</v>
      </c>
      <c r="T308" s="2" t="str">
        <f t="shared" ca="1" si="24"/>
        <v>10+ Years</v>
      </c>
      <c r="U308" t="s">
        <v>34</v>
      </c>
      <c r="V308" t="s">
        <v>35</v>
      </c>
      <c r="W308" t="s">
        <v>36</v>
      </c>
      <c r="X308" t="s">
        <v>51</v>
      </c>
      <c r="Y308" t="s">
        <v>38</v>
      </c>
      <c r="Z308" t="s">
        <v>47</v>
      </c>
      <c r="AA308">
        <v>4.07</v>
      </c>
      <c r="AB308">
        <v>4</v>
      </c>
      <c r="AC308">
        <v>0</v>
      </c>
      <c r="AD308" s="1">
        <v>43524</v>
      </c>
      <c r="AE308">
        <v>0</v>
      </c>
      <c r="AF308">
        <v>13</v>
      </c>
    </row>
    <row r="309" spans="1:32" x14ac:dyDescent="0.3">
      <c r="A309" t="s">
        <v>474</v>
      </c>
      <c r="B309">
        <v>5</v>
      </c>
      <c r="C309">
        <v>5</v>
      </c>
      <c r="D309">
        <v>48513</v>
      </c>
      <c r="E309" t="str">
        <f t="shared" si="20"/>
        <v>Medium</v>
      </c>
      <c r="F309">
        <v>1</v>
      </c>
      <c r="G309" t="str">
        <f t="shared" si="21"/>
        <v>Yes</v>
      </c>
      <c r="H309" t="s">
        <v>27</v>
      </c>
      <c r="I309" t="s">
        <v>28</v>
      </c>
      <c r="J309" s="1">
        <v>30075</v>
      </c>
      <c r="K309" s="2">
        <f t="shared" ca="1" si="22"/>
        <v>44</v>
      </c>
      <c r="L309" t="s">
        <v>49</v>
      </c>
      <c r="M309" t="s">
        <v>30</v>
      </c>
      <c r="N309" t="s">
        <v>31</v>
      </c>
      <c r="O309" t="s">
        <v>32</v>
      </c>
      <c r="P309" t="s">
        <v>83</v>
      </c>
      <c r="Q309" s="1">
        <v>39693</v>
      </c>
      <c r="R309" s="1">
        <v>42276</v>
      </c>
      <c r="S309" s="2">
        <f t="shared" ca="1" si="23"/>
        <v>7.0767123287671234</v>
      </c>
      <c r="T309" s="2" t="str">
        <f t="shared" ca="1" si="24"/>
        <v>6-10 Years</v>
      </c>
      <c r="U309" t="s">
        <v>70</v>
      </c>
      <c r="V309" t="s">
        <v>43</v>
      </c>
      <c r="W309" t="s">
        <v>36</v>
      </c>
      <c r="X309" t="s">
        <v>65</v>
      </c>
      <c r="Y309" t="s">
        <v>56</v>
      </c>
      <c r="Z309" t="s">
        <v>114</v>
      </c>
      <c r="AA309">
        <v>3.2</v>
      </c>
      <c r="AB309">
        <v>2</v>
      </c>
      <c r="AC309">
        <v>0</v>
      </c>
      <c r="AD309" s="1">
        <v>42249</v>
      </c>
      <c r="AE309">
        <v>5</v>
      </c>
      <c r="AF309">
        <v>4</v>
      </c>
    </row>
    <row r="310" spans="1:32" x14ac:dyDescent="0.3">
      <c r="A310" t="s">
        <v>475</v>
      </c>
      <c r="B310">
        <v>1</v>
      </c>
      <c r="C310">
        <v>3</v>
      </c>
      <c r="D310">
        <v>220450</v>
      </c>
      <c r="E310" t="str">
        <f t="shared" si="20"/>
        <v>High</v>
      </c>
      <c r="F310">
        <v>0</v>
      </c>
      <c r="G310" t="str">
        <f t="shared" si="21"/>
        <v>No</v>
      </c>
      <c r="H310" t="s">
        <v>167</v>
      </c>
      <c r="I310" t="s">
        <v>28</v>
      </c>
      <c r="J310" s="1">
        <v>29097</v>
      </c>
      <c r="K310" s="2">
        <f t="shared" ca="1" si="22"/>
        <v>47</v>
      </c>
      <c r="L310" t="s">
        <v>49</v>
      </c>
      <c r="M310" t="s">
        <v>30</v>
      </c>
      <c r="N310" t="s">
        <v>31</v>
      </c>
      <c r="O310" t="s">
        <v>32</v>
      </c>
      <c r="P310" t="s">
        <v>33</v>
      </c>
      <c r="Q310" s="1">
        <v>40278</v>
      </c>
      <c r="S310" s="2">
        <f t="shared" ca="1" si="23"/>
        <v>15.989041095890411</v>
      </c>
      <c r="T310" s="2" t="str">
        <f t="shared" ca="1" si="24"/>
        <v>10+ Years</v>
      </c>
      <c r="U310" t="s">
        <v>34</v>
      </c>
      <c r="V310" t="s">
        <v>35</v>
      </c>
      <c r="W310" t="s">
        <v>44</v>
      </c>
      <c r="X310" t="s">
        <v>94</v>
      </c>
      <c r="Y310" t="s">
        <v>63</v>
      </c>
      <c r="Z310" t="s">
        <v>39</v>
      </c>
      <c r="AA310">
        <v>4.5999999999999996</v>
      </c>
      <c r="AB310">
        <v>5</v>
      </c>
      <c r="AC310">
        <v>6</v>
      </c>
      <c r="AD310" s="1">
        <v>43517</v>
      </c>
      <c r="AE310">
        <v>0</v>
      </c>
      <c r="AF310">
        <v>16</v>
      </c>
    </row>
    <row r="311" spans="1:32" x14ac:dyDescent="0.3">
      <c r="A311" t="s">
        <v>476</v>
      </c>
      <c r="B311">
        <v>1</v>
      </c>
      <c r="C311">
        <v>3</v>
      </c>
      <c r="D311">
        <v>89292</v>
      </c>
      <c r="E311" t="str">
        <f t="shared" si="20"/>
        <v>High</v>
      </c>
      <c r="F311">
        <v>0</v>
      </c>
      <c r="G311" t="str">
        <f t="shared" si="21"/>
        <v>No</v>
      </c>
      <c r="H311" t="s">
        <v>73</v>
      </c>
      <c r="I311" t="s">
        <v>28</v>
      </c>
      <c r="J311" s="1">
        <v>28910</v>
      </c>
      <c r="K311" s="2">
        <f t="shared" ca="1" si="22"/>
        <v>47</v>
      </c>
      <c r="L311" t="s">
        <v>49</v>
      </c>
      <c r="M311" t="s">
        <v>30</v>
      </c>
      <c r="N311" t="s">
        <v>31</v>
      </c>
      <c r="O311" t="s">
        <v>32</v>
      </c>
      <c r="P311" t="s">
        <v>33</v>
      </c>
      <c r="Q311" s="1">
        <v>42093</v>
      </c>
      <c r="S311" s="2">
        <f t="shared" ca="1" si="23"/>
        <v>11.016438356164384</v>
      </c>
      <c r="T311" s="2" t="str">
        <f t="shared" ca="1" si="24"/>
        <v>10+ Years</v>
      </c>
      <c r="U311" t="s">
        <v>34</v>
      </c>
      <c r="V311" t="s">
        <v>35</v>
      </c>
      <c r="W311" t="s">
        <v>44</v>
      </c>
      <c r="X311" t="s">
        <v>45</v>
      </c>
      <c r="Y311" t="s">
        <v>63</v>
      </c>
      <c r="Z311" t="s">
        <v>47</v>
      </c>
      <c r="AA311">
        <v>5</v>
      </c>
      <c r="AB311">
        <v>3</v>
      </c>
      <c r="AC311">
        <v>5</v>
      </c>
      <c r="AD311" s="1">
        <v>43497</v>
      </c>
      <c r="AE311">
        <v>0</v>
      </c>
      <c r="AF311">
        <v>11</v>
      </c>
    </row>
    <row r="312" spans="1:32" x14ac:dyDescent="0.3">
      <c r="A312" t="s">
        <v>477</v>
      </c>
      <c r="B312">
        <v>1</v>
      </c>
      <c r="C312">
        <v>5</v>
      </c>
      <c r="D312">
        <v>45046</v>
      </c>
      <c r="E312" t="str">
        <f t="shared" si="20"/>
        <v>Medium</v>
      </c>
      <c r="F312">
        <v>0</v>
      </c>
      <c r="G312" t="str">
        <f t="shared" si="21"/>
        <v>No</v>
      </c>
      <c r="H312" t="s">
        <v>27</v>
      </c>
      <c r="I312" t="s">
        <v>28</v>
      </c>
      <c r="J312" s="1">
        <v>28719</v>
      </c>
      <c r="K312" s="2">
        <f t="shared" ca="1" si="22"/>
        <v>48</v>
      </c>
      <c r="L312" t="s">
        <v>49</v>
      </c>
      <c r="M312" t="s">
        <v>61</v>
      </c>
      <c r="N312" t="s">
        <v>31</v>
      </c>
      <c r="O312" t="s">
        <v>32</v>
      </c>
      <c r="P312" t="s">
        <v>83</v>
      </c>
      <c r="Q312" s="1">
        <v>41911</v>
      </c>
      <c r="S312" s="2">
        <f t="shared" ca="1" si="23"/>
        <v>11.515068493150684</v>
      </c>
      <c r="T312" s="2" t="str">
        <f t="shared" ca="1" si="24"/>
        <v>10+ Years</v>
      </c>
      <c r="U312" t="s">
        <v>34</v>
      </c>
      <c r="V312" t="s">
        <v>35</v>
      </c>
      <c r="W312" t="s">
        <v>36</v>
      </c>
      <c r="X312" t="s">
        <v>71</v>
      </c>
      <c r="Y312" t="s">
        <v>38</v>
      </c>
      <c r="Z312" t="s">
        <v>47</v>
      </c>
      <c r="AA312">
        <v>4.5</v>
      </c>
      <c r="AB312">
        <v>5</v>
      </c>
      <c r="AC312">
        <v>0</v>
      </c>
      <c r="AD312" s="1">
        <v>43495</v>
      </c>
      <c r="AE312">
        <v>0</v>
      </c>
      <c r="AF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HRDataset_v14(AutoRecovered)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kunal karal</cp:lastModifiedBy>
  <dcterms:created xsi:type="dcterms:W3CDTF">2026-04-01T10:47:03Z</dcterms:created>
  <dcterms:modified xsi:type="dcterms:W3CDTF">2026-04-02T06:16:40Z</dcterms:modified>
</cp:coreProperties>
</file>